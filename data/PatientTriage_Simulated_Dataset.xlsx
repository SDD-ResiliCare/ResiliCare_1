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5d61c4b4db44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tients" sheetId="1" r:id="R2efa584f21934cf7"/>
    <x:sheet xmlns:r="http://schemas.openxmlformats.org/officeDocument/2006/relationships" name="Coverage" sheetId="2" r:id="Rc021ad1a724c4f88"/>
    <x:sheet xmlns:r="http://schemas.openxmlformats.org/officeDocument/2006/relationships" name="Codebook" sheetId="3" r:id="R73123fdab1b34a26"/>
    <x:sheet xmlns:r="http://schemas.openxmlformats.org/officeDocument/2006/relationships" name="Label Guidance" sheetId="4" r:id="R0420360b433d4b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"/>
    <x:numFmt numFmtId="202" formatCode="0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92400E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4C1D95"/>
      <x:name val="Carlito"/>
    </x:font>
    <x:font>
      <x:b/>
      <x:sz val="11"/>
      <x:color rgb="FF991B1B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FEF3C7"/>
      </x:patternFill>
    </x:fill>
    <x:fill>
      <x:patternFill patternType="solid">
        <x:fgColor rgb="FF5B21B6"/>
      </x:patternFill>
    </x:fill>
    <x:fill>
      <x:patternFill patternType="solid">
        <x:fgColor rgb="FFEDE9FE"/>
      </x:patternFill>
    </x:fill>
    <x:fill>
      <x:patternFill patternType="solid">
        <x:fgColor rgb="FFFEE2E2"/>
      </x:patternFill>
    </x:fill>
  </x:fills>
  <x:borders count="10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top"/>
    </x:xf>
    <x:xf numFmtId="200" fontId="0" fillId="0" borderId="5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201" fontId="0" fillId="0" borderId="5" xfId="0" applyNumberFormat="1" applyFont="1" applyFill="1" applyBorder="1" applyAlignment="1">
      <x:alignment vertical="top"/>
    </x:xf>
    <x:xf numFmtId="202" fontId="0" fillId="0" borderId="5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7" xfId="0" applyNumberFormat="1" applyFont="1" applyFill="1" applyBorder="1" applyAlignment="1">
      <x:alignment vertical="top"/>
    </x:xf>
    <x:xf numFmtId="200" fontId="0" fillId="0" borderId="8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201" fontId="0" fillId="0" borderId="8" xfId="0" applyNumberFormat="1" applyFont="1" applyFill="1" applyBorder="1" applyAlignment="1">
      <x:alignment vertical="top"/>
    </x:xf>
    <x:xf numFmtId="202" fontId="0" fillId="0" borderId="8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4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201" fontId="0" fillId="0" borderId="5" xfId="0" applyNumberFormat="1" applyFont="1" applyFill="1" applyBorder="1" applyAlignment="1">
      <x:alignment vertical="top" wrapText="1"/>
    </x:xf>
    <x:xf numFmtId="202" fontId="0" fillId="0" borderId="5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7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201" fontId="0" fillId="0" borderId="8" xfId="0" applyNumberFormat="1" applyFont="1" applyFill="1" applyBorder="1" applyAlignment="1">
      <x:alignment vertical="top" wrapText="1"/>
    </x:xf>
    <x:xf numFmtId="202" fontId="0" fillId="0" borderId="8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ont>
        <x:b/>
        <x:color rgb="FFFFFFFF"/>
      </x:font>
      <x:fill>
        <x:patternFill patternType="solid">
          <x:bgColor rgb="FFB91C1C"/>
        </x:patternFill>
      </x:fill>
    </x:dxf>
    <x:dxf>
      <x:font>
        <x:b/>
        <x:color rgb="FFFFFFFF"/>
      </x:font>
      <x:fill>
        <x:patternFill patternType="solid">
          <x:bgColor rgb="FFEA580C"/>
        </x:patternFill>
      </x:fill>
    </x:dxf>
    <x:dxf>
      <x:font>
        <x:b/>
        <x:color rgb="FF111827"/>
      </x:font>
      <x:fill>
        <x:patternFill patternType="solid">
          <x:bgColor rgb="FFFACC15"/>
        </x:patternFill>
      </x:fill>
    </x:dxf>
    <x:dxf>
      <x:font>
        <x:b/>
        <x:color rgb="FFFFFFFF"/>
      </x:font>
      <x:fill>
        <x:patternFill patternType="solid">
          <x:bgColor rgb="FF22C55E"/>
        </x:patternFill>
      </x:fill>
    </x:dxf>
    <x:dxf>
      <x:font>
        <x:b/>
        <x:color rgb="FFFFFFFF"/>
      </x:font>
      <x:fill>
        <x:patternFill patternType="solid">
          <x:bgColor rgb="FF2563EB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623f094da2440f" /><Relationship Type="http://schemas.openxmlformats.org/officeDocument/2006/relationships/theme" Target="/xl/theme/theme1.xml" Id="Ra7cd6c47624e4cde" /><Relationship Type="http://schemas.microsoft.com/office/2022/11/relationships/FeaturePropertyBag" Target="/xl/featurePropertyBag/featurePropertyBag.xml" Id="R21c42564277146d9" /><Relationship Type="http://schemas.openxmlformats.org/officeDocument/2006/relationships/sharedStrings" Target="/xl/sharedStrings.xml" Id="Rf6bbb6f48cf74ad0" /><Relationship Type="http://schemas.openxmlformats.org/officeDocument/2006/relationships/worksheet" Target="/xl/worksheets/sheet1.xml" Id="R2efa584f21934cf7" /><Relationship Type="http://schemas.openxmlformats.org/officeDocument/2006/relationships/worksheet" Target="/xl/worksheets/sheet2.xml" Id="Rc021ad1a724c4f88" /><Relationship Type="http://schemas.openxmlformats.org/officeDocument/2006/relationships/worksheet" Target="/xl/worksheets/sheet3.xml" Id="R73123fdab1b34a26" /><Relationship Type="http://schemas.openxmlformats.org/officeDocument/2006/relationships/worksheet" Target="/xl/worksheets/sheet4.xml" Id="R0420360b433d4b4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yntheticPatients" displayName="SyntheticPatients" ref="A4:AG24" headerRowCount="1" totalsRowCount="0" totalsRowShown="0">
  <x:autoFilter ref="A4:AG24"/>
  <x:tableColumns count="33">
    <x:tableColumn id="1" name="patient_id"/>
    <x:tableColumn id="2" name="age_years"/>
    <x:tableColumn id="3" name="age_group"/>
    <x:tableColumn id="4" name="sex_at_birth"/>
    <x:tableColumn id="5" name="chief_complaint"/>
    <x:tableColumn id="6" name="presenting_details"/>
    <x:tableColumn id="7" name="symptom_onset"/>
    <x:tableColumn id="8" name="arrival_timestamp"/>
    <x:tableColumn id="9" name="arrival_mode"/>
    <x:tableColumn id="10" name="hr_bpm"/>
    <x:tableColumn id="11" name="rr_bpm"/>
    <x:tableColumn id="12" name="spo2_pct"/>
    <x:tableColumn id="13" name="sbp_mmhg"/>
    <x:tableColumn id="14" name="dbp_mmhg"/>
    <x:tableColumn id="15" name="temp_c"/>
    <x:tableColumn id="16" name="avpu"/>
    <x:tableColumn id="17" name="gcs"/>
    <x:tableColumn id="18" name="pain_score_0_10"/>
    <x:tableColumn id="19" name="has_prior_history"/>
    <x:tableColumn id="20" name="history_summary"/>
    <x:tableColumn id="21" name="allergies_status"/>
    <x:tableColumn id="22" name="data_quality_notes"/>
    <x:tableColumn id="23" name="immediate_lifesaving_intervention"/>
    <x:tableColumn id="24" name="high_risk_presentation"/>
    <x:tableColumn id="25" name="expected_resource_count"/>
    <x:tableColumn id="26" name="expected_resources"/>
    <x:tableColumn id="27" name="ambiguity_flag"/>
    <x:tableColumn id="28" name="reference_esi"/>
    <x:tableColumn id="29" name="reference_label_rationale"/>
    <x:tableColumn id="30" name="uncertainty_notes"/>
    <x:tableColumn id="31" name="scenario_tags"/>
    <x:tableColumn id="32" name="clinician_review_status"/>
    <x:tableColumn id="33" name="reassessment_scenario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9f2d5f35559475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12" hidden="0" customWidth="1"/>
    <x:col min="4" max="4" width="12" hidden="0" customWidth="1"/>
    <x:col min="5" max="5" width="24" hidden="0" customWidth="1"/>
    <x:col min="6" max="6" width="42" hidden="0" customWidth="1"/>
    <x:col min="7" max="7" width="15" hidden="0" customWidth="1"/>
    <x:col min="8" max="8" width="27" hidden="0" customWidth="1"/>
    <x:col min="9" max="9" width="18" hidden="0" customWidth="1"/>
    <x:col min="10" max="10" width="10" hidden="0" customWidth="1"/>
    <x:col min="11" max="11" width="10" hidden="0" customWidth="1"/>
    <x:col min="12" max="12" width="10" hidden="0" customWidth="1"/>
    <x:col min="13" max="13" width="11" hidden="0" customWidth="1"/>
    <x:col min="14" max="14" width="11" hidden="0" customWidth="1"/>
    <x:col min="15" max="15" width="10" hidden="0" customWidth="1"/>
    <x:col min="16" max="16" width="8" hidden="0" customWidth="1"/>
    <x:col min="17" max="17" width="8" hidden="0" customWidth="1"/>
    <x:col min="18" max="18" width="13" hidden="0" customWidth="1"/>
    <x:col min="19" max="19" width="13" hidden="0" customWidth="1"/>
    <x:col min="20" max="20" width="34" hidden="0" customWidth="1"/>
    <x:col min="21" max="21" width="15" hidden="0" customWidth="1"/>
    <x:col min="22" max="22" width="36" hidden="0" customWidth="1"/>
    <x:col min="23" max="23" width="17" hidden="0" customWidth="1"/>
    <x:col min="24" max="24" width="16" hidden="0" customWidth="1"/>
    <x:col min="25" max="25" width="16" hidden="0" customWidth="1"/>
    <x:col min="26" max="26" width="38" hidden="0" customWidth="1"/>
    <x:col min="27" max="27" width="12" hidden="0" customWidth="1"/>
    <x:col min="28" max="28" width="12" hidden="0" customWidth="1"/>
    <x:col min="29" max="29" width="45" hidden="0" customWidth="1"/>
    <x:col min="30" max="30" width="45" hidden="0" customWidth="1"/>
    <x:col min="31" max="31" width="36" hidden="0" customWidth="1"/>
    <x:col min="32" max="32" width="22" hidden="0" customWidth="1"/>
    <x:col min="33" max="33" width="18" hidden="0" customWidth="1"/>
  </x:cols>
  <x:sheetData>
    <x:row r="1" ht="28" customHeight="1">
      <x:c r="A1" s="4" t="str">
        <x:v>ResiliCare - Synthetic Patient Triage Dataset v1.0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</x:row>
    <x:row r="2" ht="32" customHeight="1">
      <x:c r="A2" s="7" t="str">
        <x:v>Educational prototype data only. Reference ESI labels are synthetic and pending review by a qualified emergency clinician; not for clinical use.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</x:row>
    <x:row r="4" ht="42" customHeight="1">
      <x:c r="A4" s="18" t="str">
        <x:v>patient_id</x:v>
      </x:c>
      <x:c r="B4" s="19" t="str">
        <x:v>age_years</x:v>
      </x:c>
      <x:c r="C4" s="19" t="str">
        <x:v>age_group</x:v>
      </x:c>
      <x:c r="D4" s="19" t="str">
        <x:v>sex_at_birth</x:v>
      </x:c>
      <x:c r="E4" s="19" t="str">
        <x:v>chief_complaint</x:v>
      </x:c>
      <x:c r="F4" s="19" t="str">
        <x:v>presenting_details</x:v>
      </x:c>
      <x:c r="G4" s="19" t="str">
        <x:v>symptom_onset</x:v>
      </x:c>
      <x:c r="H4" s="19" t="str">
        <x:v>arrival_timestamp</x:v>
      </x:c>
      <x:c r="I4" s="19" t="str">
        <x:v>arrival_mode</x:v>
      </x:c>
      <x:c r="J4" s="19" t="str">
        <x:v>hr_bpm</x:v>
      </x:c>
      <x:c r="K4" s="19" t="str">
        <x:v>rr_bpm</x:v>
      </x:c>
      <x:c r="L4" s="19" t="str">
        <x:v>spo2_pct</x:v>
      </x:c>
      <x:c r="M4" s="19" t="str">
        <x:v>sbp_mmhg</x:v>
      </x:c>
      <x:c r="N4" s="19" t="str">
        <x:v>dbp_mmhg</x:v>
      </x:c>
      <x:c r="O4" s="19" t="str">
        <x:v>temp_c</x:v>
      </x:c>
      <x:c r="P4" s="19" t="str">
        <x:v>avpu</x:v>
      </x:c>
      <x:c r="Q4" s="19" t="str">
        <x:v>gcs</x:v>
      </x:c>
      <x:c r="R4" s="19" t="str">
        <x:v>pain_score_0_10</x:v>
      </x:c>
      <x:c r="S4" s="19" t="str">
        <x:v>has_prior_history</x:v>
      </x:c>
      <x:c r="T4" s="19" t="str">
        <x:v>history_summary</x:v>
      </x:c>
      <x:c r="U4" s="19" t="str">
        <x:v>allergies_status</x:v>
      </x:c>
      <x:c r="V4" s="19" t="str">
        <x:v>data_quality_notes</x:v>
      </x:c>
      <x:c r="W4" s="19" t="str">
        <x:v>immediate_lifesaving_intervention</x:v>
      </x:c>
      <x:c r="X4" s="19" t="str">
        <x:v>high_risk_presentation</x:v>
      </x:c>
      <x:c r="Y4" s="19" t="str">
        <x:v>expected_resource_count</x:v>
      </x:c>
      <x:c r="Z4" s="19" t="str">
        <x:v>expected_resources</x:v>
      </x:c>
      <x:c r="AA4" s="19" t="str">
        <x:v>ambiguity_flag</x:v>
      </x:c>
      <x:c r="AB4" s="19" t="str">
        <x:v>reference_esi</x:v>
      </x:c>
      <x:c r="AC4" s="19" t="str">
        <x:v>reference_label_rationale</x:v>
      </x:c>
      <x:c r="AD4" s="19" t="str">
        <x:v>uncertainty_notes</x:v>
      </x:c>
      <x:c r="AE4" s="19" t="str">
        <x:v>scenario_tags</x:v>
      </x:c>
      <x:c r="AF4" s="19" t="str">
        <x:v>clinician_review_status</x:v>
      </x:c>
      <x:c r="AG4" s="20" t="str">
        <x:v>reassessment_scenario</x:v>
      </x:c>
    </x:row>
    <x:row r="5" ht="72" customHeight="1">
      <x:c r="A5" s="35" t="str">
        <x:v>PT-001</x:v>
      </x:c>
      <x:c r="B5" s="36" t="n">
        <x:v>44</x:v>
      </x:c>
      <x:c r="C5" s="37" t="str">
        <x:v>Adult</x:v>
      </x:c>
      <x:c r="D5" s="37" t="str">
        <x:v>Male</x:v>
      </x:c>
      <x:c r="E5" s="37" t="str">
        <x:v>Collapsed and unresponsive</x:v>
      </x:c>
      <x:c r="F5" s="37" t="str">
        <x:v>Found pulseless and apnoeic at ED entrance; CPR initiated immediately.</x:v>
      </x:c>
      <x:c r="G5" s="37" t="str">
        <x:v>Immediate</x:v>
      </x:c>
      <x:c r="H5" s="37" t="str">
        <x:v>2026-09-01 08:00 IST</x:v>
      </x:c>
      <x:c r="I5" s="37" t="str">
        <x:v>Ambulance</x:v>
      </x:c>
      <x:c r="J5" s="38"/>
      <x:c r="K5" s="38"/>
      <x:c r="L5" s="38"/>
      <x:c r="M5" s="38"/>
      <x:c r="N5" s="38"/>
      <x:c r="O5" s="38" t="n">
        <x:v>36.2</x:v>
      </x:c>
      <x:c r="P5" s="38" t="str">
        <x:v>U</x:v>
      </x:c>
      <x:c r="Q5" s="38" t="n">
        <x:v>3</x:v>
      </x:c>
      <x:c r="R5" s="39"/>
      <x:c r="S5" s="40" t="b">
        <x:v>0</x:v>
      </x:c>
      <x:c r="T5" s="37" t="str">
        <x:v>No prior record available; identity initially unconfirmed.</x:v>
      </x:c>
      <x:c r="U5" s="37" t="str">
        <x:v>Unknown</x:v>
      </x:c>
      <x:c r="V5" s="37" t="str">
        <x:v>Pulse, respiration, oxygen saturation, and blood pressure not measurable on arrival.</x:v>
      </x:c>
      <x:c r="W5" s="40" t="b">
        <x:v>1</x:v>
      </x:c>
      <x:c r="X5" s="40" t="b">
        <x:v>1</x:v>
      </x:c>
      <x:c r="Y5" s="39"/>
      <x:c r="Z5" s="37" t="str">
        <x:v>Immediate resuscitation; resource prediction not used at ESI decision point.</x:v>
      </x:c>
      <x:c r="AA5" s="40" t="b">
        <x:v>0</x:v>
      </x:c>
      <x:c r="AB5" s="39" t="n">
        <x:v>1</x:v>
      </x:c>
      <x:c r="AC5" s="37" t="str">
        <x:v>Requires immediate life-saving intervention (CPR/airway-resuscitation pathway).</x:v>
      </x:c>
      <x:c r="AD5" s="37" t="str">
        <x:v>Reference label is clear from the immediate resuscitation requirement; identity/history remain unknown.</x:v>
      </x:c>
      <x:c r="AE5" s="37" t="str">
        <x:v>esi1;zero_history;unidentified;resuscitation</x:v>
      </x:c>
      <x:c r="AF5" s="37" t="str">
        <x:v>Pending clinician review</x:v>
      </x:c>
      <x:c r="AG5" s="41" t="b">
        <x:v>0</x:v>
      </x:c>
    </x:row>
    <x:row r="6" ht="72" customHeight="1">
      <x:c r="A6" s="35" t="str">
        <x:v>PT-002</x:v>
      </x:c>
      <x:c r="B6" s="36" t="n">
        <x:v>67</x:v>
      </x:c>
      <x:c r="C6" s="37" t="str">
        <x:v>Geriatric</x:v>
      </x:c>
      <x:c r="D6" s="37" t="str">
        <x:v>Female</x:v>
      </x:c>
      <x:c r="E6" s="37" t="str">
        <x:v>Severe breathlessness</x:v>
      </x:c>
      <x:c r="F6" s="37" t="str">
        <x:v>Known COPD; cyanotic, exhausted, shallow respirations and unable to complete sentences.</x:v>
      </x:c>
      <x:c r="G6" s="37" t="str">
        <x:v>2 hours</x:v>
      </x:c>
      <x:c r="H6" s="37" t="str">
        <x:v>2026-09-01 08:03 IST</x:v>
      </x:c>
      <x:c r="I6" s="37" t="str">
        <x:v>Ambulance</x:v>
      </x:c>
      <x:c r="J6" s="38" t="n">
        <x:v>132</x:v>
      </x:c>
      <x:c r="K6" s="38" t="n">
        <x:v>8</x:v>
      </x:c>
      <x:c r="L6" s="38" t="n">
        <x:v>72</x:v>
      </x:c>
      <x:c r="M6" s="38" t="n">
        <x:v>82</x:v>
      </x:c>
      <x:c r="N6" s="38" t="n">
        <x:v>50</x:v>
      </x:c>
      <x:c r="O6" s="38" t="n">
        <x:v>36.5</x:v>
      </x:c>
      <x:c r="P6" s="38" t="str">
        <x:v>P</x:v>
      </x:c>
      <x:c r="Q6" s="38" t="n">
        <x:v>8</x:v>
      </x:c>
      <x:c r="R6" s="39" t="n">
        <x:v>0</x:v>
      </x:c>
      <x:c r="S6" s="40" t="b">
        <x:v>1</x:v>
      </x:c>
      <x:c r="T6" s="37" t="str">
        <x:v>COPD; hypertension; prior non-invasive ventilation admission.</x:v>
      </x:c>
      <x:c r="U6" s="37" t="str">
        <x:v>NKDA</x:v>
      </x:c>
      <x:c r="V6" s="37" t="str">
        <x:v>All initial vitals available; oxygen saturation measured before supplemental oxygen.</x:v>
      </x:c>
      <x:c r="W6" s="40" t="b">
        <x:v>1</x:v>
      </x:c>
      <x:c r="X6" s="40" t="b">
        <x:v>1</x:v>
      </x:c>
      <x:c r="Y6" s="39"/>
      <x:c r="Z6" s="37" t="str">
        <x:v>Immediate ventilatory/airway support; resource prediction not used at ESI decision point.</x:v>
      </x:c>
      <x:c r="AA6" s="40" t="b">
        <x:v>0</x:v>
      </x:c>
      <x:c r="AB6" s="39" t="n">
        <x:v>1</x:v>
      </x:c>
      <x:c r="AC6" s="37" t="str">
        <x:v>Severe respiratory failure with depressed consciousness requires immediate ventilatory support.</x:v>
      </x:c>
      <x:c r="AD6" s="37" t="str">
        <x:v>Exact intervention is clinician-determined; synthetic case intentionally represents an immediate airway/breathing threat.</x:v>
      </x:c>
      <x:c r="AE6" s="37" t="str">
        <x:v>esi1;geriatric;respiratory_failure;prior_history</x:v>
      </x:c>
      <x:c r="AF6" s="37" t="str">
        <x:v>Pending clinician review</x:v>
      </x:c>
      <x:c r="AG6" s="41" t="b">
        <x:v>0</x:v>
      </x:c>
    </x:row>
    <x:row r="7" ht="72" customHeight="1">
      <x:c r="A7" s="35" t="str">
        <x:v>PT-003</x:v>
      </x:c>
      <x:c r="B7" s="36" t="n">
        <x:v>29</x:v>
      </x:c>
      <x:c r="C7" s="37" t="str">
        <x:v>Adult</x:v>
      </x:c>
      <x:c r="D7" s="37" t="str">
        <x:v>Female</x:v>
      </x:c>
      <x:c r="E7" s="37" t="str">
        <x:v>Facial swelling and breathing difficulty</x:v>
      </x:c>
      <x:c r="F7" s="37" t="str">
        <x:v>Rapid-onset urticaria, stridor and hypotension after eating; suspected anaphylaxis.</x:v>
      </x:c>
      <x:c r="G7" s="37" t="str">
        <x:v>15 minutes</x:v>
      </x:c>
      <x:c r="H7" s="37" t="str">
        <x:v>2026-09-01 08:06 IST</x:v>
      </x:c>
      <x:c r="I7" s="37" t="str">
        <x:v>Walk-in assisted</x:v>
      </x:c>
      <x:c r="J7" s="38" t="n">
        <x:v>138</x:v>
      </x:c>
      <x:c r="K7" s="38" t="n">
        <x:v>34</x:v>
      </x:c>
      <x:c r="L7" s="38" t="n">
        <x:v>84</x:v>
      </x:c>
      <x:c r="M7" s="38" t="n">
        <x:v>70</x:v>
      </x:c>
      <x:c r="N7" s="38" t="n">
        <x:v>42</x:v>
      </x:c>
      <x:c r="O7" s="38" t="n">
        <x:v>36.7</x:v>
      </x:c>
      <x:c r="P7" s="38" t="str">
        <x:v>V</x:v>
      </x:c>
      <x:c r="Q7" s="38" t="n">
        <x:v>14</x:v>
      </x:c>
      <x:c r="R7" s="39" t="n">
        <x:v>0</x:v>
      </x:c>
      <x:c r="S7" s="40" t="b">
        <x:v>0</x:v>
      </x:c>
      <x:c r="T7" s="37" t="str">
        <x:v>No prior hospital record available.</x:v>
      </x:c>
      <x:c r="U7" s="37" t="str">
        <x:v>Unknown</x:v>
      </x:c>
      <x:c r="V7" s="37" t="str">
        <x:v>History supplied by accompanying friend; allergen not confirmed.</x:v>
      </x:c>
      <x:c r="W7" s="40" t="b">
        <x:v>1</x:v>
      </x:c>
      <x:c r="X7" s="40" t="b">
        <x:v>1</x:v>
      </x:c>
      <x:c r="Y7" s="39"/>
      <x:c r="Z7" s="37" t="str">
        <x:v>Immediate anaphylaxis/airway treatment; resource prediction not used at ESI decision point.</x:v>
      </x:c>
      <x:c r="AA7" s="40" t="b">
        <x:v>0</x:v>
      </x:c>
      <x:c r="AB7" s="39" t="n">
        <x:v>1</x:v>
      </x:c>
      <x:c r="AC7" s="37" t="str">
        <x:v>Airway compromise and shock require immediate life-saving treatment.</x:v>
      </x:c>
      <x:c r="AD7" s="37" t="str">
        <x:v>Trigger is uncertain, but immediate airway/circulatory threat is not.</x:v>
      </x:c>
      <x:c r="AE7" s="37" t="str">
        <x:v>esi1;zero_history;anaphylaxis;shock</x:v>
      </x:c>
      <x:c r="AF7" s="37" t="str">
        <x:v>Pending clinician review</x:v>
      </x:c>
      <x:c r="AG7" s="41" t="b">
        <x:v>0</x:v>
      </x:c>
    </x:row>
    <x:row r="8" ht="72" customHeight="1">
      <x:c r="A8" s="35" t="str">
        <x:v>PT-004</x:v>
      </x:c>
      <x:c r="B8" s="36" t="n">
        <x:v>52</x:v>
      </x:c>
      <x:c r="C8" s="37" t="str">
        <x:v>Adult</x:v>
      </x:c>
      <x:c r="D8" s="37" t="str">
        <x:v>Male</x:v>
      </x:c>
      <x:c r="E8" s="37" t="str">
        <x:v>Central chest burning</x:v>
      </x:c>
      <x:c r="F8" s="37" t="str">
        <x:v>Burning discomfort after a meal with diaphoresis and left-arm heaviness; reflux versus acute coronary syndrome.</x:v>
      </x:c>
      <x:c r="G8" s="37" t="str">
        <x:v>40 minutes</x:v>
      </x:c>
      <x:c r="H8" s="37" t="str">
        <x:v>2026-09-01 08:09 IST</x:v>
      </x:c>
      <x:c r="I8" s="37" t="str">
        <x:v>Walk-in</x:v>
      </x:c>
      <x:c r="J8" s="38" t="n">
        <x:v>104</x:v>
      </x:c>
      <x:c r="K8" s="38" t="n">
        <x:v>22</x:v>
      </x:c>
      <x:c r="L8" s="38" t="n">
        <x:v>97</x:v>
      </x:c>
      <x:c r="M8" s="38" t="n">
        <x:v>148</x:v>
      </x:c>
      <x:c r="N8" s="38" t="n">
        <x:v>92</x:v>
      </x:c>
      <x:c r="O8" s="38" t="n">
        <x:v>36.8</x:v>
      </x:c>
      <x:c r="P8" s="38" t="str">
        <x:v>A</x:v>
      </x:c>
      <x:c r="Q8" s="38" t="n">
        <x:v>15</x:v>
      </x:c>
      <x:c r="R8" s="39" t="n">
        <x:v>6</x:v>
      </x:c>
      <x:c r="S8" s="40" t="b">
        <x:v>0</x:v>
      </x:c>
      <x:c r="T8" s="37" t="str">
        <x:v>First visit; smoking and family-history fields not yet known.</x:v>
      </x:c>
      <x:c r="U8" s="37" t="str">
        <x:v>Unknown</x:v>
      </x:c>
      <x:c r="V8" s="37" t="str">
        <x:v>Incomplete cardiovascular history at initial intake.</x:v>
      </x:c>
      <x:c r="W8" s="40" t="b">
        <x:v>0</x:v>
      </x:c>
      <x:c r="X8" s="40" t="b">
        <x:v>1</x:v>
      </x:c>
      <x:c r="Y8" s="39"/>
      <x:c r="Z8" s="37" t="str">
        <x:v>Time-sensitive clinician assessment; likely ECG/laboratory evaluation under local protocol.</x:v>
      </x:c>
      <x:c r="AA8" s="40" t="b">
        <x:v>1</x:v>
      </x:c>
      <x:c r="AB8" s="39" t="n">
        <x:v>2</x:v>
      </x:c>
      <x:c r="AC8" s="37" t="str">
        <x:v>Potential time-sensitive cardiac presentation is high risk despite relatively preserved initial vitals.</x:v>
      </x:c>
      <x:c r="AD8" s="37" t="str">
        <x:v>Deliberately ambiguous presentation; reference level prioritizes the dangerous plausible diagnosis rather than the benign one.</x:v>
      </x:c>
      <x:c r="AE8" s="37" t="str">
        <x:v>esi2;ambiguous;zero_history;chest_pain;asymmetric_risk</x:v>
      </x:c>
      <x:c r="AF8" s="37" t="str">
        <x:v>Pending clinician review</x:v>
      </x:c>
      <x:c r="AG8" s="41" t="b">
        <x:v>1</x:v>
      </x:c>
    </x:row>
    <x:row r="9" ht="72" customHeight="1">
      <x:c r="A9" s="35" t="str">
        <x:v>PT-005</x:v>
      </x:c>
      <x:c r="B9" s="36" t="n">
        <x:v>61</x:v>
      </x:c>
      <x:c r="C9" s="37" t="str">
        <x:v>Adult</x:v>
      </x:c>
      <x:c r="D9" s="37" t="str">
        <x:v>Female</x:v>
      </x:c>
      <x:c r="E9" s="37" t="str">
        <x:v>Sudden speech difficulty and right-arm weakness</x:v>
      </x:c>
      <x:c r="F9" s="37" t="str">
        <x:v>Facial droop, aphasia and unilateral weakness witnessed 45 minutes before arrival.</x:v>
      </x:c>
      <x:c r="G9" s="37" t="str">
        <x:v>45 minutes</x:v>
      </x:c>
      <x:c r="H9" s="37" t="str">
        <x:v>2026-09-01 08:12 IST</x:v>
      </x:c>
      <x:c r="I9" s="37" t="str">
        <x:v>Ambulance</x:v>
      </x:c>
      <x:c r="J9" s="38" t="n">
        <x:v>88</x:v>
      </x:c>
      <x:c r="K9" s="38" t="n">
        <x:v>18</x:v>
      </x:c>
      <x:c r="L9" s="38" t="n">
        <x:v>97</x:v>
      </x:c>
      <x:c r="M9" s="38" t="n">
        <x:v>176</x:v>
      </x:c>
      <x:c r="N9" s="38" t="n">
        <x:v>98</x:v>
      </x:c>
      <x:c r="O9" s="38" t="n">
        <x:v>36.6</x:v>
      </x:c>
      <x:c r="P9" s="38" t="str">
        <x:v>A</x:v>
      </x:c>
      <x:c r="Q9" s="38" t="n">
        <x:v>14</x:v>
      </x:c>
      <x:c r="R9" s="39" t="n">
        <x:v>0</x:v>
      </x:c>
      <x:c r="S9" s="40" t="b">
        <x:v>1</x:v>
      </x:c>
      <x:c r="T9" s="37" t="str">
        <x:v>Hypertension; dyslipidaemia; no prior stroke recorded.</x:v>
      </x:c>
      <x:c r="U9" s="37" t="str">
        <x:v>NKDA</x:v>
      </x:c>
      <x:c r="V9" s="37" t="str">
        <x:v>History confirmed by family; last-known-well time available.</x:v>
      </x:c>
      <x:c r="W9" s="40" t="b">
        <x:v>0</x:v>
      </x:c>
      <x:c r="X9" s="40" t="b">
        <x:v>1</x:v>
      </x:c>
      <x:c r="Y9" s="39"/>
      <x:c r="Z9" s="37" t="str">
        <x:v>Immediate stroke-pathway clinician assessment and time-sensitive diagnostics.</x:v>
      </x:c>
      <x:c r="AA9" s="40" t="b">
        <x:v>0</x:v>
      </x:c>
      <x:c r="AB9" s="39" t="n">
        <x:v>2</x:v>
      </x:c>
      <x:c r="AC9" s="37" t="str">
        <x:v>Acute focal neurological deficit is a high-risk, time-sensitive presentation.</x:v>
      </x:c>
      <x:c r="AD9" s="37" t="str">
        <x:v>Final diagnosis is not assumed; triage priority is based on time-sensitive risk.</x:v>
      </x:c>
      <x:c r="AE9" s="37" t="str">
        <x:v>esi2;stroke_alert;prior_history;time_sensitive</x:v>
      </x:c>
      <x:c r="AF9" s="37" t="str">
        <x:v>Pending clinician review</x:v>
      </x:c>
      <x:c r="AG9" s="41" t="b">
        <x:v>0</x:v>
      </x:c>
    </x:row>
    <x:row r="10" ht="72" customHeight="1">
      <x:c r="A10" s="35" t="str">
        <x:v>PT-006</x:v>
      </x:c>
      <x:c r="B10" s="36" t="n">
        <x:v>0.12</x:v>
      </x:c>
      <x:c r="C10" s="37" t="str">
        <x:v>Pediatric</x:v>
      </x:c>
      <x:c r="D10" s="37" t="str">
        <x:v>Male</x:v>
      </x:c>
      <x:c r="E10" s="37" t="str">
        <x:v>Fever in young infant</x:v>
      </x:c>
      <x:c r="F10" s="37" t="str">
        <x:v>Six-week-old infant with reduced feeding and rectal temperature 38.4 C.</x:v>
      </x:c>
      <x:c r="G10" s="37" t="str">
        <x:v>6 hours</x:v>
      </x:c>
      <x:c r="H10" s="37" t="str">
        <x:v>2026-09-01 08:15 IST</x:v>
      </x:c>
      <x:c r="I10" s="37" t="str">
        <x:v>Carried by caregiver</x:v>
      </x:c>
      <x:c r="J10" s="38" t="n">
        <x:v>176</x:v>
      </x:c>
      <x:c r="K10" s="38" t="n">
        <x:v>52</x:v>
      </x:c>
      <x:c r="L10" s="38" t="n">
        <x:v>98</x:v>
      </x:c>
      <x:c r="M10" s="38" t="n">
        <x:v>78</x:v>
      </x:c>
      <x:c r="N10" s="38" t="n">
        <x:v>46</x:v>
      </x:c>
      <x:c r="O10" s="38" t="n">
        <x:v>38.4</x:v>
      </x:c>
      <x:c r="P10" s="38" t="str">
        <x:v>A</x:v>
      </x:c>
      <x:c r="Q10" s="38" t="n">
        <x:v>15</x:v>
      </x:c>
      <x:c r="R10" s="39"/>
      <x:c r="S10" s="40" t="b">
        <x:v>0</x:v>
      </x:c>
      <x:c r="T10" s="37" t="str">
        <x:v>No hospital record; birth and immunisation history being confirmed.</x:v>
      </x:c>
      <x:c r="U10" s="37" t="str">
        <x:v>Unknown</x:v>
      </x:c>
      <x:c r="V10" s="37" t="str">
        <x:v>Self-reported pain is not developmentally appropriate; caregiver observations used.</x:v>
      </x:c>
      <x:c r="W10" s="40" t="b">
        <x:v>0</x:v>
      </x:c>
      <x:c r="X10" s="40" t="b">
        <x:v>1</x:v>
      </x:c>
      <x:c r="Y10" s="39"/>
      <x:c r="Z10" s="37" t="str">
        <x:v>Urgent pediatric clinician assessment and age-specific fever pathway.</x:v>
      </x:c>
      <x:c r="AA10" s="40" t="b">
        <x:v>0</x:v>
      </x:c>
      <x:c r="AB10" s="39" t="n">
        <x:v>2</x:v>
      </x:c>
      <x:c r="AC10" s="37" t="str">
        <x:v>Very young febrile infant with reduced feeding is treated as a high-risk presentation.</x:v>
      </x:c>
      <x:c r="AD10" s="37" t="str">
        <x:v>Age-specific protocol and clinician assessment determine final urgency; pediatric review is essential.</x:v>
      </x:c>
      <x:c r="AE10" s="37" t="str">
        <x:v>esi2;pediatric;young_infant;zero_history;fever</x:v>
      </x:c>
      <x:c r="AF10" s="37" t="str">
        <x:v>Pending clinician review</x:v>
      </x:c>
      <x:c r="AG10" s="41" t="b">
        <x:v>1</x:v>
      </x:c>
    </x:row>
    <x:row r="11" ht="72" customHeight="1">
      <x:c r="A11" s="35" t="str">
        <x:v>PT-007</x:v>
      </x:c>
      <x:c r="B11" s="36" t="n">
        <x:v>81</x:v>
      </x:c>
      <x:c r="C11" s="37" t="str">
        <x:v>Geriatric</x:v>
      </x:c>
      <x:c r="D11" s="37" t="str">
        <x:v>Female</x:v>
      </x:c>
      <x:c r="E11" s="37" t="str">
        <x:v>New confusion and weakness</x:v>
      </x:c>
      <x:c r="F11" s="37" t="str">
        <x:v>Family reports abrupt functional decline; possible infection with blunted fever response.</x:v>
      </x:c>
      <x:c r="G11" s="37" t="str">
        <x:v>Since morning</x:v>
      </x:c>
      <x:c r="H11" s="37" t="str">
        <x:v>2026-09-01 08:18 IST</x:v>
      </x:c>
      <x:c r="I11" s="37" t="str">
        <x:v>Ambulance</x:v>
      </x:c>
      <x:c r="J11" s="38" t="n">
        <x:v>112</x:v>
      </x:c>
      <x:c r="K11" s="38" t="n">
        <x:v>26</x:v>
      </x:c>
      <x:c r="L11" s="38" t="n">
        <x:v>93</x:v>
      </x:c>
      <x:c r="M11" s="38" t="n">
        <x:v>92</x:v>
      </x:c>
      <x:c r="N11" s="38" t="n">
        <x:v>56</x:v>
      </x:c>
      <x:c r="O11" s="38" t="n">
        <x:v>37.6</x:v>
      </x:c>
      <x:c r="P11" s="38" t="str">
        <x:v>V</x:v>
      </x:c>
      <x:c r="Q11" s="38" t="n">
        <x:v>13</x:v>
      </x:c>
      <x:c r="R11" s="39" t="n">
        <x:v>2</x:v>
      </x:c>
      <x:c r="S11" s="40" t="b">
        <x:v>1</x:v>
      </x:c>
      <x:c r="T11" s="37" t="str">
        <x:v>Type 2 diabetes; chronic kidney disease; baseline cognitively intact.</x:v>
      </x:c>
      <x:c r="U11" s="37" t="str">
        <x:v>Penicillin</x:v>
      </x:c>
      <x:c r="V11" s="37" t="str">
        <x:v>Symptoms reported by family because patient is confused.</x:v>
      </x:c>
      <x:c r="W11" s="40" t="b">
        <x:v>0</x:v>
      </x:c>
      <x:c r="X11" s="40" t="b">
        <x:v>1</x:v>
      </x:c>
      <x:c r="Y11" s="39"/>
      <x:c r="Z11" s="37" t="str">
        <x:v>Urgent clinician assessment for sepsis/metabolic/neurological causes.</x:v>
      </x:c>
      <x:c r="AA11" s="40" t="b">
        <x:v>1</x:v>
      </x:c>
      <x:c r="AB11" s="39" t="n">
        <x:v>2</x:v>
      </x:c>
      <x:c r="AC11" s="37" t="str">
        <x:v>Acute altered mental status with borderline hypotension is high risk, especially in a geriatric patient.</x:v>
      </x:c>
      <x:c r="AD11" s="37" t="str">
        <x:v>Cause is uncertain; label reflects deterioration risk rather than a presumed diagnosis.</x:v>
      </x:c>
      <x:c r="AE11" s="37" t="str">
        <x:v>esi2;geriatric;altered_mental_status;prior_history;ambiguous</x:v>
      </x:c>
      <x:c r="AF11" s="37" t="str">
        <x:v>Pending clinician review</x:v>
      </x:c>
      <x:c r="AG11" s="41" t="b">
        <x:v>1</x:v>
      </x:c>
    </x:row>
    <x:row r="12" ht="72" customHeight="1">
      <x:c r="A12" s="35" t="str">
        <x:v>PT-008</x:v>
      </x:c>
      <x:c r="B12" s="36" t="n">
        <x:v>24</x:v>
      </x:c>
      <x:c r="C12" s="37" t="str">
        <x:v>Adult</x:v>
      </x:c>
      <x:c r="D12" s="37" t="str">
        <x:v>Male</x:v>
      </x:c>
      <x:c r="E12" s="37" t="str">
        <x:v>Suicidal thoughts with plan</x:v>
      </x:c>
      <x:c r="F12" s="37" t="str">
        <x:v>Reports intent and access to means; calm and cooperative at triage.</x:v>
      </x:c>
      <x:c r="G12" s="37" t="str">
        <x:v>Worsening for 2 days</x:v>
      </x:c>
      <x:c r="H12" s="37" t="str">
        <x:v>2026-09-01 08:21 IST</x:v>
      </x:c>
      <x:c r="I12" s="37" t="str">
        <x:v>Walk-in with friend</x:v>
      </x:c>
      <x:c r="J12" s="38" t="n">
        <x:v>82</x:v>
      </x:c>
      <x:c r="K12" s="38" t="n">
        <x:v>16</x:v>
      </x:c>
      <x:c r="L12" s="38" t="n">
        <x:v>99</x:v>
      </x:c>
      <x:c r="M12" s="38" t="n">
        <x:v>124</x:v>
      </x:c>
      <x:c r="N12" s="38" t="n">
        <x:v>78</x:v>
      </x:c>
      <x:c r="O12" s="38" t="n">
        <x:v>36.7</x:v>
      </x:c>
      <x:c r="P12" s="38" t="str">
        <x:v>A</x:v>
      </x:c>
      <x:c r="Q12" s="38" t="n">
        <x:v>15</x:v>
      </x:c>
      <x:c r="R12" s="39" t="n">
        <x:v>0</x:v>
      </x:c>
      <x:c r="S12" s="40" t="b">
        <x:v>1</x:v>
      </x:c>
      <x:c r="T12" s="37" t="str">
        <x:v>Prior depression diagnosis; previous self-harm documented.</x:v>
      </x:c>
      <x:c r="U12" s="37" t="str">
        <x:v>NKDA</x:v>
      </x:c>
      <x:c r="V12" s="37" t="str">
        <x:v>Physiological vitals are stable; risk is primarily behavioural/psychiatric.</x:v>
      </x:c>
      <x:c r="W12" s="40" t="b">
        <x:v>0</x:v>
      </x:c>
      <x:c r="X12" s="40" t="b">
        <x:v>1</x:v>
      </x:c>
      <x:c r="Y12" s="39"/>
      <x:c r="Z12" s="37" t="str">
        <x:v>Immediate safety precautions and urgent licensed-clinician mental-health assessment.</x:v>
      </x:c>
      <x:c r="AA12" s="40" t="b">
        <x:v>0</x:v>
      </x:c>
      <x:c r="AB12" s="39" t="n">
        <x:v>2</x:v>
      </x:c>
      <x:c r="AC12" s="37" t="str">
        <x:v>Active suicidal intent is a high-risk safety presentation despite normal vital signs.</x:v>
      </x:c>
      <x:c r="AD12" s="37" t="str">
        <x:v>Synthetic scenario requires local behavioural-health safety protocol; AI must not independently clear the patient.</x:v>
      </x:c>
      <x:c r="AE12" s="37" t="str">
        <x:v>esi2;behavioural_health;high_risk;prior_history</x:v>
      </x:c>
      <x:c r="AF12" s="37" t="str">
        <x:v>Pending clinician review</x:v>
      </x:c>
      <x:c r="AG12" s="41" t="b">
        <x:v>1</x:v>
      </x:c>
    </x:row>
    <x:row r="13" ht="72" customHeight="1">
      <x:c r="A13" s="35" t="str">
        <x:v>PT-009</x:v>
      </x:c>
      <x:c r="B13" s="36" t="n">
        <x:v>35</x:v>
      </x:c>
      <x:c r="C13" s="37" t="str">
        <x:v>Adult</x:v>
      </x:c>
      <x:c r="D13" s="37" t="str">
        <x:v>Female</x:v>
      </x:c>
      <x:c r="E13" s="37" t="str">
        <x:v>Right lower abdominal pain</x:v>
      </x:c>
      <x:c r="F13" s="37" t="str">
        <x:v>Progressive focal abdominal pain with nausea; haemodynamically stable.</x:v>
      </x:c>
      <x:c r="G13" s="37" t="str">
        <x:v>12 hours</x:v>
      </x:c>
      <x:c r="H13" s="37" t="str">
        <x:v>2026-09-01 08:24 IST</x:v>
      </x:c>
      <x:c r="I13" s="37" t="str">
        <x:v>Walk-in</x:v>
      </x:c>
      <x:c r="J13" s="38" t="n">
        <x:v>102</x:v>
      </x:c>
      <x:c r="K13" s="38" t="n">
        <x:v>20</x:v>
      </x:c>
      <x:c r="L13" s="38" t="n">
        <x:v>99</x:v>
      </x:c>
      <x:c r="M13" s="38" t="n">
        <x:v>116</x:v>
      </x:c>
      <x:c r="N13" s="38" t="n">
        <x:v>74</x:v>
      </x:c>
      <x:c r="O13" s="38" t="n">
        <x:v>37.7</x:v>
      </x:c>
      <x:c r="P13" s="38" t="str">
        <x:v>A</x:v>
      </x:c>
      <x:c r="Q13" s="38" t="n">
        <x:v>15</x:v>
      </x:c>
      <x:c r="R13" s="39" t="n">
        <x:v>7</x:v>
      </x:c>
      <x:c r="S13" s="40" t="b">
        <x:v>0</x:v>
      </x:c>
      <x:c r="T13" s="37" t="str">
        <x:v>No prior record; pregnancy status and surgical history not yet known.</x:v>
      </x:c>
      <x:c r="U13" s="37" t="str">
        <x:v>Unknown</x:v>
      </x:c>
      <x:c r="V13" s="37" t="str">
        <x:v>Important history fields remain incomplete at initial intake.</x:v>
      </x:c>
      <x:c r="W13" s="40" t="b">
        <x:v>0</x:v>
      </x:c>
      <x:c r="X13" s="40" t="b">
        <x:v>0</x:v>
      </x:c>
      <x:c r="Y13" s="39" t="n">
        <x:v>3</x:v>
      </x:c>
      <x:c r="Z13" s="37" t="str">
        <x:v>Laboratory testing; imaging; parenteral medication/fluids.</x:v>
      </x:c>
      <x:c r="AA13" s="40" t="b">
        <x:v>1</x:v>
      </x:c>
      <x:c r="AB13" s="39" t="n">
        <x:v>3</x:v>
      </x:c>
      <x:c r="AC13" s="37" t="str">
        <x:v>Stable presentation expected to require multiple ED resources, without an identified ESI-1/2 criterion in the synthetic snapshot.</x:v>
      </x:c>
      <x:c r="AD13" s="37" t="str">
        <x:v>Pregnancy and examination findings could increase urgency; clinician review may change the reference level.</x:v>
      </x:c>
      <x:c r="AE13" s="37" t="str">
        <x:v>esi3;zero_history;abdominal_pain;missing_data;ambiguous</x:v>
      </x:c>
      <x:c r="AF13" s="37" t="str">
        <x:v>Pending clinician review</x:v>
      </x:c>
      <x:c r="AG13" s="41" t="b">
        <x:v>1</x:v>
      </x:c>
    </x:row>
    <x:row r="14" ht="72" customHeight="1">
      <x:c r="A14" s="35" t="str">
        <x:v>PT-010</x:v>
      </x:c>
      <x:c r="B14" s="36" t="n">
        <x:v>7</x:v>
      </x:c>
      <x:c r="C14" s="37" t="str">
        <x:v>Pediatric</x:v>
      </x:c>
      <x:c r="D14" s="37" t="str">
        <x:v>Male</x:v>
      </x:c>
      <x:c r="E14" s="37" t="str">
        <x:v>Vomiting and reduced urine</x:v>
      </x:c>
      <x:c r="F14" s="37" t="str">
        <x:v>Two days of vomiting; dry mucosa but alert, interactive and perfusing.</x:v>
      </x:c>
      <x:c r="G14" s="37" t="str">
        <x:v>2 days</x:v>
      </x:c>
      <x:c r="H14" s="37" t="str">
        <x:v>2026-09-01 08:27 IST</x:v>
      </x:c>
      <x:c r="I14" s="37" t="str">
        <x:v>Walk-in with caregiver</x:v>
      </x:c>
      <x:c r="J14" s="38" t="n">
        <x:v>128</x:v>
      </x:c>
      <x:c r="K14" s="38" t="n">
        <x:v>24</x:v>
      </x:c>
      <x:c r="L14" s="38" t="n">
        <x:v>99</x:v>
      </x:c>
      <x:c r="M14" s="38" t="n">
        <x:v>92</x:v>
      </x:c>
      <x:c r="N14" s="38" t="n">
        <x:v>58</x:v>
      </x:c>
      <x:c r="O14" s="38" t="n">
        <x:v>37.8</x:v>
      </x:c>
      <x:c r="P14" s="38" t="str">
        <x:v>A</x:v>
      </x:c>
      <x:c r="Q14" s="38" t="n">
        <x:v>15</x:v>
      </x:c>
      <x:c r="R14" s="39" t="n">
        <x:v>4</x:v>
      </x:c>
      <x:c r="S14" s="40" t="b">
        <x:v>1</x:v>
      </x:c>
      <x:c r="T14" s="37" t="str">
        <x:v>No chronic disease; prior visits available; vaccinations current per caregiver.</x:v>
      </x:c>
      <x:c r="U14" s="37" t="str">
        <x:v>NKDA</x:v>
      </x:c>
      <x:c r="V14" s="37" t="str">
        <x:v>Weight is not included in this first dataset version and would be required for treatment decisions.</x:v>
      </x:c>
      <x:c r="W14" s="40" t="b">
        <x:v>0</x:v>
      </x:c>
      <x:c r="X14" s="40" t="b">
        <x:v>0</x:v>
      </x:c>
      <x:c r="Y14" s="39" t="n">
        <x:v>2</x:v>
      </x:c>
      <x:c r="Z14" s="37" t="str">
        <x:v>Laboratory assessment and oral/IV rehydration decision under pediatric protocol.</x:v>
      </x:c>
      <x:c r="AA14" s="40" t="b">
        <x:v>0</x:v>
      </x:c>
      <x:c r="AB14" s="39" t="n">
        <x:v>3</x:v>
      </x:c>
      <x:c r="AC14" s="37" t="str">
        <x:v>Stable child likely to require two or more ED resources; age-adjusted clinician assessment remains necessary.</x:v>
      </x:c>
      <x:c r="AD14" s="37" t="str">
        <x:v>Degree of dehydration is examination-dependent and could alter urgency.</x:v>
      </x:c>
      <x:c r="AE14" s="37" t="str">
        <x:v>esi3;pediatric;dehydration;prior_history</x:v>
      </x:c>
      <x:c r="AF14" s="37" t="str">
        <x:v>Pending clinician review</x:v>
      </x:c>
      <x:c r="AG14" s="41" t="b">
        <x:v>1</x:v>
      </x:c>
    </x:row>
    <x:row r="15" ht="72" customHeight="1">
      <x:c r="A15" s="35" t="str">
        <x:v>PT-011</x:v>
      </x:c>
      <x:c r="B15" s="36" t="n">
        <x:v>76</x:v>
      </x:c>
      <x:c r="C15" s="37" t="str">
        <x:v>Geriatric</x:v>
      </x:c>
      <x:c r="D15" s="37" t="str">
        <x:v>Female</x:v>
      </x:c>
      <x:c r="E15" s="37" t="str">
        <x:v>Hip pain after ground-level fall</x:v>
      </x:c>
      <x:c r="F15" s="37" t="str">
        <x:v>Unable to bear weight; no head strike, syncope or anticoagulant use reported.</x:v>
      </x:c>
      <x:c r="G15" s="37" t="str">
        <x:v>1 hour</x:v>
      </x:c>
      <x:c r="H15" s="37" t="str">
        <x:v>2026-09-01 08:30 IST</x:v>
      </x:c>
      <x:c r="I15" s="37" t="str">
        <x:v>Ambulance</x:v>
      </x:c>
      <x:c r="J15" s="38" t="n">
        <x:v>96</x:v>
      </x:c>
      <x:c r="K15" s="38" t="n">
        <x:v>18</x:v>
      </x:c>
      <x:c r="L15" s="38" t="n">
        <x:v>97</x:v>
      </x:c>
      <x:c r="M15" s="38" t="n">
        <x:v>138</x:v>
      </x:c>
      <x:c r="N15" s="38" t="n">
        <x:v>80</x:v>
      </x:c>
      <x:c r="O15" s="38" t="n">
        <x:v>36.4</x:v>
      </x:c>
      <x:c r="P15" s="38" t="str">
        <x:v>A</x:v>
      </x:c>
      <x:c r="Q15" s="38" t="n">
        <x:v>15</x:v>
      </x:c>
      <x:c r="R15" s="39" t="n">
        <x:v>7</x:v>
      </x:c>
      <x:c r="S15" s="40" t="b">
        <x:v>1</x:v>
      </x:c>
      <x:c r="T15" s="37" t="str">
        <x:v>Osteoporosis; hypertension; not taking anticoagulants.</x:v>
      </x:c>
      <x:c r="U15" s="37" t="str">
        <x:v>Sulfonamides</x:v>
      </x:c>
      <x:c r="V15" s="37" t="str">
        <x:v>History corroborated by medication list and caregiver.</x:v>
      </x:c>
      <x:c r="W15" s="40" t="b">
        <x:v>0</x:v>
      </x:c>
      <x:c r="X15" s="40" t="b">
        <x:v>0</x:v>
      </x:c>
      <x:c r="Y15" s="39" t="n">
        <x:v>2</x:v>
      </x:c>
      <x:c r="Z15" s="37" t="str">
        <x:v>Imaging and analgesic treatment; possible orthopedic assessment.</x:v>
      </x:c>
      <x:c r="AA15" s="40" t="b">
        <x:v>0</x:v>
      </x:c>
      <x:c r="AB15" s="39" t="n">
        <x:v>3</x:v>
      </x:c>
      <x:c r="AC15" s="37" t="str">
        <x:v>Stable presentation expected to require multiple resources for suspected hip injury.</x:v>
      </x:c>
      <x:c r="AD15" s="37" t="str">
        <x:v>Occult head injury or instability would require escalation; neither is represented in this synthetic snapshot.</x:v>
      </x:c>
      <x:c r="AE15" s="37" t="str">
        <x:v>esi3;geriatric;fall;prior_history</x:v>
      </x:c>
      <x:c r="AF15" s="37" t="str">
        <x:v>Pending clinician review</x:v>
      </x:c>
      <x:c r="AG15" s="41" t="b">
        <x:v>0</x:v>
      </x:c>
    </x:row>
    <x:row r="16" ht="72" customHeight="1">
      <x:c r="A16" s="35" t="str">
        <x:v>PT-012</x:v>
      </x:c>
      <x:c r="B16" s="36" t="n">
        <x:v>33</x:v>
      </x:c>
      <x:c r="C16" s="37" t="str">
        <x:v>Adult</x:v>
      </x:c>
      <x:c r="D16" s="37" t="str">
        <x:v>Female</x:v>
      </x:c>
      <x:c r="E16" s="37" t="str">
        <x:v>Fever and flank pain</x:v>
      </x:c>
      <x:c r="F16" s="37" t="str">
        <x:v>Dysuria followed by fever, vomiting and unilateral flank pain; alert with preserved blood pressure.</x:v>
      </x:c>
      <x:c r="G16" s="37" t="str">
        <x:v>18 hours</x:v>
      </x:c>
      <x:c r="H16" s="37" t="str">
        <x:v>2026-09-01 08:33 IST</x:v>
      </x:c>
      <x:c r="I16" s="37" t="str">
        <x:v>Walk-in</x:v>
      </x:c>
      <x:c r="J16" s="38" t="n">
        <x:v>110</x:v>
      </x:c>
      <x:c r="K16" s="38" t="n">
        <x:v>22</x:v>
      </x:c>
      <x:c r="L16" s="38" t="n">
        <x:v>98</x:v>
      </x:c>
      <x:c r="M16" s="38" t="n">
        <x:v>108</x:v>
      </x:c>
      <x:c r="N16" s="38" t="n">
        <x:v>70</x:v>
      </x:c>
      <x:c r="O16" s="38" t="n">
        <x:v>38.7</x:v>
      </x:c>
      <x:c r="P16" s="38" t="str">
        <x:v>A</x:v>
      </x:c>
      <x:c r="Q16" s="38" t="n">
        <x:v>15</x:v>
      </x:c>
      <x:c r="R16" s="39" t="n">
        <x:v>8</x:v>
      </x:c>
      <x:c r="S16" s="40" t="b">
        <x:v>0</x:v>
      </x:c>
      <x:c r="T16" s="37" t="str">
        <x:v>First hospital visit; pregnancy, renal and medication history incomplete.</x:v>
      </x:c>
      <x:c r="U16" s="37" t="str">
        <x:v>Unknown</x:v>
      </x:c>
      <x:c r="V16" s="37" t="str">
        <x:v>Zero-history scenario with clinically relevant unknown fields.</x:v>
      </x:c>
      <x:c r="W16" s="40" t="b">
        <x:v>0</x:v>
      </x:c>
      <x:c r="X16" s="40" t="b">
        <x:v>0</x:v>
      </x:c>
      <x:c r="Y16" s="39" t="n">
        <x:v>3</x:v>
      </x:c>
      <x:c r="Z16" s="37" t="str">
        <x:v>Urine/laboratory testing; medication/fluids; possible imaging.</x:v>
      </x:c>
      <x:c r="AA16" s="40" t="b">
        <x:v>0</x:v>
      </x:c>
      <x:c r="AB16" s="39" t="n">
        <x:v>3</x:v>
      </x:c>
      <x:c r="AC16" s="37" t="str">
        <x:v>Currently stable but expected to require multiple ED resources and close reassessment.</x:v>
      </x:c>
      <x:c r="AD16" s="37" t="str">
        <x:v>Potential infection may deteriorate; uncertainty is increased by missing pregnancy and comorbidity history.</x:v>
      </x:c>
      <x:c r="AE16" s="37" t="str">
        <x:v>esi3;zero_history;infection;missing_data;reassessment</x:v>
      </x:c>
      <x:c r="AF16" s="37" t="str">
        <x:v>Pending clinician review</x:v>
      </x:c>
      <x:c r="AG16" s="41" t="b">
        <x:v>1</x:v>
      </x:c>
    </x:row>
    <x:row r="17" ht="72" customHeight="1">
      <x:c r="A17" s="35" t="str">
        <x:v>PT-013</x:v>
      </x:c>
      <x:c r="B17" s="36" t="n">
        <x:v>41</x:v>
      </x:c>
      <x:c r="C17" s="37" t="str">
        <x:v>Adult</x:v>
      </x:c>
      <x:c r="D17" s="37" t="str">
        <x:v>Male</x:v>
      </x:c>
      <x:c r="E17" s="37" t="str">
        <x:v>Severe intermittent flank pain</x:v>
      </x:c>
      <x:c r="F17" s="37" t="str">
        <x:v>Colicky pain radiating to groin with nausea; stable and alert.</x:v>
      </x:c>
      <x:c r="G17" s="37" t="str">
        <x:v>3 hours</x:v>
      </x:c>
      <x:c r="H17" s="37" t="str">
        <x:v>2026-09-01 08:36 IST</x:v>
      </x:c>
      <x:c r="I17" s="37" t="str">
        <x:v>Walk-in</x:v>
      </x:c>
      <x:c r="J17" s="38" t="n">
        <x:v>100</x:v>
      </x:c>
      <x:c r="K17" s="38" t="n">
        <x:v>20</x:v>
      </x:c>
      <x:c r="L17" s="38" t="n">
        <x:v>99</x:v>
      </x:c>
      <x:c r="M17" s="38" t="n">
        <x:v>132</x:v>
      </x:c>
      <x:c r="N17" s="38" t="n">
        <x:v>84</x:v>
      </x:c>
      <x:c r="O17" s="38" t="n">
        <x:v>36.9</x:v>
      </x:c>
      <x:c r="P17" s="38" t="str">
        <x:v>A</x:v>
      </x:c>
      <x:c r="Q17" s="38" t="n">
        <x:v>15</x:v>
      </x:c>
      <x:c r="R17" s="39" t="n">
        <x:v>7</x:v>
      </x:c>
      <x:c r="S17" s="40" t="b">
        <x:v>1</x:v>
      </x:c>
      <x:c r="T17" s="37" t="str">
        <x:v>Prior renal stone; no single kidney documented.</x:v>
      </x:c>
      <x:c r="U17" s="37" t="str">
        <x:v>NKDA</x:v>
      </x:c>
      <x:c r="V17" s="37" t="str">
        <x:v>Prior episode available in hospital record.</x:v>
      </x:c>
      <x:c r="W17" s="40" t="b">
        <x:v>0</x:v>
      </x:c>
      <x:c r="X17" s="40" t="b">
        <x:v>0</x:v>
      </x:c>
      <x:c r="Y17" s="39" t="n">
        <x:v>3</x:v>
      </x:c>
      <x:c r="Z17" s="37" t="str">
        <x:v>Urinalysis/laboratory testing; imaging; parenteral analgesia.</x:v>
      </x:c>
      <x:c r="AA17" s="40" t="b">
        <x:v>0</x:v>
      </x:c>
      <x:c r="AB17" s="39" t="n">
        <x:v>3</x:v>
      </x:c>
      <x:c r="AC17" s="37" t="str">
        <x:v>Stable patient expected to require multiple ED resources.</x:v>
      </x:c>
      <x:c r="AD17" s="37" t="str">
        <x:v>Fever, anuria or solitary kidney would change risk; those features are absent from this scenario.</x:v>
      </x:c>
      <x:c r="AE17" s="37" t="str">
        <x:v>esi3;renal_colic;prior_history</x:v>
      </x:c>
      <x:c r="AF17" s="37" t="str">
        <x:v>Pending clinician review</x:v>
      </x:c>
      <x:c r="AG17" s="41" t="b">
        <x:v>0</x:v>
      </x:c>
    </x:row>
    <x:row r="18" ht="72" customHeight="1">
      <x:c r="A18" s="35" t="str">
        <x:v>PT-014</x:v>
      </x:c>
      <x:c r="B18" s="36" t="n">
        <x:v>58</x:v>
      </x:c>
      <x:c r="C18" s="37" t="str">
        <x:v>Adult</x:v>
      </x:c>
      <x:c r="D18" s="37" t="str">
        <x:v>Female</x:v>
      </x:c>
      <x:c r="E18" s="37" t="str">
        <x:v>Excessive thirst and weakness</x:v>
      </x:c>
      <x:c r="F18" s="37" t="str">
        <x:v>Known diabetes with home glucose reported as very high; no Kussmaul breathing or altered mental status.</x:v>
      </x:c>
      <x:c r="G18" s="37" t="str">
        <x:v>1 day</x:v>
      </x:c>
      <x:c r="H18" s="37" t="str">
        <x:v>2026-09-01 08:39 IST</x:v>
      </x:c>
      <x:c r="I18" s="37" t="str">
        <x:v>Walk-in</x:v>
      </x:c>
      <x:c r="J18" s="38" t="n">
        <x:v>104</x:v>
      </x:c>
      <x:c r="K18" s="38" t="n">
        <x:v>20</x:v>
      </x:c>
      <x:c r="L18" s="38" t="n">
        <x:v>98</x:v>
      </x:c>
      <x:c r="M18" s="38" t="n">
        <x:v>118</x:v>
      </x:c>
      <x:c r="N18" s="38" t="n">
        <x:v>72</x:v>
      </x:c>
      <x:c r="O18" s="38" t="n">
        <x:v>36.8</x:v>
      </x:c>
      <x:c r="P18" s="38" t="str">
        <x:v>A</x:v>
      </x:c>
      <x:c r="Q18" s="38" t="n">
        <x:v>15</x:v>
      </x:c>
      <x:c r="R18" s="39" t="n">
        <x:v>1</x:v>
      </x:c>
      <x:c r="S18" s="40" t="b">
        <x:v>1</x:v>
      </x:c>
      <x:c r="T18" s="37" t="str">
        <x:v>Type 2 diabetes; oral medication; prior laboratory results available.</x:v>
      </x:c>
      <x:c r="U18" s="37" t="str">
        <x:v>NKDA</x:v>
      </x:c>
      <x:c r="V18" s="37" t="str">
        <x:v>Home glucose value is patient-reported and requires confirmation.</x:v>
      </x:c>
      <x:c r="W18" s="40" t="b">
        <x:v>0</x:v>
      </x:c>
      <x:c r="X18" s="40" t="b">
        <x:v>0</x:v>
      </x:c>
      <x:c r="Y18" s="39" t="n">
        <x:v>2</x:v>
      </x:c>
      <x:c r="Z18" s="37" t="str">
        <x:v>Point-of-care/laboratory testing and medication/fluids depending on results.</x:v>
      </x:c>
      <x:c r="AA18" s="40" t="b">
        <x:v>0</x:v>
      </x:c>
      <x:c r="AB18" s="39" t="n">
        <x:v>3</x:v>
      </x:c>
      <x:c r="AC18" s="37" t="str">
        <x:v>Stable presentation expected to require multiple resources to exclude a metabolic emergency.</x:v>
      </x:c>
      <x:c r="AD18" s="37" t="str">
        <x:v>Confirmed glucose, ketones and acid-base status are unavailable at triage and could change urgency.</x:v>
      </x:c>
      <x:c r="AE18" s="37" t="str">
        <x:v>esi3;diabetes;prior_history;missing_labs</x:v>
      </x:c>
      <x:c r="AF18" s="37" t="str">
        <x:v>Pending clinician review</x:v>
      </x:c>
      <x:c r="AG18" s="41" t="b">
        <x:v>1</x:v>
      </x:c>
    </x:row>
    <x:row r="19" ht="72" customHeight="1">
      <x:c r="A19" s="35" t="str">
        <x:v>PT-015</x:v>
      </x:c>
      <x:c r="B19" s="36" t="n">
        <x:v>14</x:v>
      </x:c>
      <x:c r="C19" s="37" t="str">
        <x:v>Pediatric</x:v>
      </x:c>
      <x:c r="D19" s="37" t="str">
        <x:v>Male</x:v>
      </x:c>
      <x:c r="E19" s="37" t="str">
        <x:v>Forearm cut</x:v>
      </x:c>
      <x:c r="F19" s="37" t="str">
        <x:v>Clean 3 cm superficial laceration; bleeding controlled, normal movement and sensation.</x:v>
      </x:c>
      <x:c r="G19" s="37" t="str">
        <x:v>30 minutes</x:v>
      </x:c>
      <x:c r="H19" s="37" t="str">
        <x:v>2026-09-01 08:42 IST</x:v>
      </x:c>
      <x:c r="I19" s="37" t="str">
        <x:v>Walk-in with caregiver</x:v>
      </x:c>
      <x:c r="J19" s="38" t="n">
        <x:v>92</x:v>
      </x:c>
      <x:c r="K19" s="38" t="n">
        <x:v>18</x:v>
      </x:c>
      <x:c r="L19" s="38" t="n">
        <x:v>99</x:v>
      </x:c>
      <x:c r="M19" s="38" t="n">
        <x:v>112</x:v>
      </x:c>
      <x:c r="N19" s="38" t="n">
        <x:v>70</x:v>
      </x:c>
      <x:c r="O19" s="38" t="n">
        <x:v>36.6</x:v>
      </x:c>
      <x:c r="P19" s="38" t="str">
        <x:v>A</x:v>
      </x:c>
      <x:c r="Q19" s="38" t="n">
        <x:v>15</x:v>
      </x:c>
      <x:c r="R19" s="39" t="n">
        <x:v>3</x:v>
      </x:c>
      <x:c r="S19" s="40" t="b">
        <x:v>0</x:v>
      </x:c>
      <x:c r="T19" s="37" t="str">
        <x:v>No prior record; tetanus status being confirmed by caregiver.</x:v>
      </x:c>
      <x:c r="U19" s="37" t="str">
        <x:v>Unknown</x:v>
      </x:c>
      <x:c r="V19" s="37" t="str">
        <x:v>Neurovascular findings are synthetic examination observations.</x:v>
      </x:c>
      <x:c r="W19" s="40" t="b">
        <x:v>0</x:v>
      </x:c>
      <x:c r="X19" s="40" t="b">
        <x:v>0</x:v>
      </x:c>
      <x:c r="Y19" s="39" t="n">
        <x:v>1</x:v>
      </x:c>
      <x:c r="Z19" s="37" t="str">
        <x:v>Wound closure is the expected single ED resource.</x:v>
      </x:c>
      <x:c r="AA19" s="40" t="b">
        <x:v>0</x:v>
      </x:c>
      <x:c r="AB19" s="39" t="n">
        <x:v>4</x:v>
      </x:c>
      <x:c r="AC19" s="37" t="str">
        <x:v>Stable presentation expected to require one ED resource (wound closure).</x:v>
      </x:c>
      <x:c r="AD19" s="37" t="str">
        <x:v>Deeper injury, contamination or neurovascular deficit would alter the label; not present here.</x:v>
      </x:c>
      <x:c r="AE19" s="37" t="str">
        <x:v>esi4;pediatric;zero_history;laceration</x:v>
      </x:c>
      <x:c r="AF19" s="37" t="str">
        <x:v>Pending clinician review</x:v>
      </x:c>
      <x:c r="AG19" s="41" t="b">
        <x:v>0</x:v>
      </x:c>
    </x:row>
    <x:row r="20" ht="72" customHeight="1">
      <x:c r="A20" s="35" t="str">
        <x:v>PT-016</x:v>
      </x:c>
      <x:c r="B20" s="36" t="n">
        <x:v>30</x:v>
      </x:c>
      <x:c r="C20" s="37" t="str">
        <x:v>Adult</x:v>
      </x:c>
      <x:c r="D20" s="37" t="str">
        <x:v>Female</x:v>
      </x:c>
      <x:c r="E20" s="37" t="str">
        <x:v>Burning urination</x:v>
      </x:c>
      <x:c r="F20" s="37" t="str">
        <x:v>Dysuria and frequency without fever, flank pain, vomiting or pregnancy concern.</x:v>
      </x:c>
      <x:c r="G20" s="37" t="str">
        <x:v>2 days</x:v>
      </x:c>
      <x:c r="H20" s="37" t="str">
        <x:v>2026-09-01 08:45 IST</x:v>
      </x:c>
      <x:c r="I20" s="37" t="str">
        <x:v>Walk-in</x:v>
      </x:c>
      <x:c r="J20" s="38" t="n">
        <x:v>78</x:v>
      </x:c>
      <x:c r="K20" s="38" t="n">
        <x:v>16</x:v>
      </x:c>
      <x:c r="L20" s="38" t="n">
        <x:v>99</x:v>
      </x:c>
      <x:c r="M20" s="38" t="n">
        <x:v>116</x:v>
      </x:c>
      <x:c r="N20" s="38" t="n">
        <x:v>72</x:v>
      </x:c>
      <x:c r="O20" s="38" t="n">
        <x:v>36.8</x:v>
      </x:c>
      <x:c r="P20" s="38" t="str">
        <x:v>A</x:v>
      </x:c>
      <x:c r="Q20" s="38" t="n">
        <x:v>15</x:v>
      </x:c>
      <x:c r="R20" s="39" t="n">
        <x:v>3</x:v>
      </x:c>
      <x:c r="S20" s="40" t="b">
        <x:v>1</x:v>
      </x:c>
      <x:c r="T20" s="37" t="str">
        <x:v>One uncomplicated UTI two years earlier; no renal disease.</x:v>
      </x:c>
      <x:c r="U20" s="37" t="str">
        <x:v>Nitrofurantoin</x:v>
      </x:c>
      <x:c r="V20" s="37" t="str">
        <x:v>Pregnancy concern explicitly denied in the synthetic history but would be verified clinically.</x:v>
      </x:c>
      <x:c r="W20" s="40" t="b">
        <x:v>0</x:v>
      </x:c>
      <x:c r="X20" s="40" t="b">
        <x:v>0</x:v>
      </x:c>
      <x:c r="Y20" s="39" t="n">
        <x:v>1</x:v>
      </x:c>
      <x:c r="Z20" s="37" t="str">
        <x:v>Urine testing is the expected single ED resource.</x:v>
      </x:c>
      <x:c r="AA20" s="40" t="b">
        <x:v>0</x:v>
      </x:c>
      <x:c r="AB20" s="39" t="n">
        <x:v>4</x:v>
      </x:c>
      <x:c r="AC20" s="37" t="str">
        <x:v>Stable presentation expected to require one ED resource.</x:v>
      </x:c>
      <x:c r="AD20" s="37" t="str">
        <x:v>Systemic symptoms or pregnancy could increase urgency; neither is represented.</x:v>
      </x:c>
      <x:c r="AE20" s="37" t="str">
        <x:v>esi4;dysuria;prior_history</x:v>
      </x:c>
      <x:c r="AF20" s="37" t="str">
        <x:v>Pending clinician review</x:v>
      </x:c>
      <x:c r="AG20" s="41" t="b">
        <x:v>0</x:v>
      </x:c>
    </x:row>
    <x:row r="21" ht="72" customHeight="1">
      <x:c r="A21" s="35" t="str">
        <x:v>PT-017</x:v>
      </x:c>
      <x:c r="B21" s="36" t="n">
        <x:v>46</x:v>
      </x:c>
      <x:c r="C21" s="37" t="str">
        <x:v>Adult</x:v>
      </x:c>
      <x:c r="D21" s="37" t="str">
        <x:v>Male</x:v>
      </x:c>
      <x:c r="E21" s="37" t="str">
        <x:v>Twisted ankle</x:v>
      </x:c>
      <x:c r="F21" s="37" t="str">
        <x:v>Lateral ankle swelling after sports injury; distal neurovascular status intact.</x:v>
      </x:c>
      <x:c r="G21" s="37" t="str">
        <x:v>2 hours</x:v>
      </x:c>
      <x:c r="H21" s="37" t="str">
        <x:v>2026-09-01 08:48 IST</x:v>
      </x:c>
      <x:c r="I21" s="37" t="str">
        <x:v>Walk-in</x:v>
      </x:c>
      <x:c r="J21" s="38" t="n">
        <x:v>84</x:v>
      </x:c>
      <x:c r="K21" s="38" t="n">
        <x:v>16</x:v>
      </x:c>
      <x:c r="L21" s="38" t="n">
        <x:v>98</x:v>
      </x:c>
      <x:c r="M21" s="38" t="n">
        <x:v>128</x:v>
      </x:c>
      <x:c r="N21" s="38" t="n">
        <x:v>82</x:v>
      </x:c>
      <x:c r="O21" s="38" t="n">
        <x:v>36.5</x:v>
      </x:c>
      <x:c r="P21" s="38" t="str">
        <x:v>A</x:v>
      </x:c>
      <x:c r="Q21" s="38" t="n">
        <x:v>15</x:v>
      </x:c>
      <x:c r="R21" s="39" t="n">
        <x:v>5</x:v>
      </x:c>
      <x:c r="S21" s="40" t="b">
        <x:v>0</x:v>
      </x:c>
      <x:c r="T21" s="37" t="str">
        <x:v>No prior hospital record available.</x:v>
      </x:c>
      <x:c r="U21" s="37" t="str">
        <x:v>Unknown</x:v>
      </x:c>
      <x:c r="V21" s="37" t="str">
        <x:v>Weight-bearing status documented; formal imaging decision remains clinician-owned.</x:v>
      </x:c>
      <x:c r="W21" s="40" t="b">
        <x:v>0</x:v>
      </x:c>
      <x:c r="X21" s="40" t="b">
        <x:v>0</x:v>
      </x:c>
      <x:c r="Y21" s="39" t="n">
        <x:v>1</x:v>
      </x:c>
      <x:c r="Z21" s="37" t="str">
        <x:v>Plain radiograph is the expected single ED resource.</x:v>
      </x:c>
      <x:c r="AA21" s="40" t="b">
        <x:v>0</x:v>
      </x:c>
      <x:c r="AB21" s="39" t="n">
        <x:v>4</x:v>
      </x:c>
      <x:c r="AC21" s="37" t="str">
        <x:v>Stable isolated injury expected to require one ED resource.</x:v>
      </x:c>
      <x:c r="AD21" s="37" t="str">
        <x:v>Open injury, neurovascular deficit or high-energy mechanism would change urgency; absent here.</x:v>
      </x:c>
      <x:c r="AE21" s="37" t="str">
        <x:v>esi4;zero_history;minor_injury</x:v>
      </x:c>
      <x:c r="AF21" s="37" t="str">
        <x:v>Pending clinician review</x:v>
      </x:c>
      <x:c r="AG21" s="41" t="b">
        <x:v>0</x:v>
      </x:c>
    </x:row>
    <x:row r="22" ht="72" customHeight="1">
      <x:c r="A22" s="35" t="str">
        <x:v>PT-018</x:v>
      </x:c>
      <x:c r="B22" s="36" t="n">
        <x:v>26</x:v>
      </x:c>
      <x:c r="C22" s="37" t="str">
        <x:v>Adult</x:v>
      </x:c>
      <x:c r="D22" s="37" t="str">
        <x:v>Female</x:v>
      </x:c>
      <x:c r="E22" s="37" t="str">
        <x:v>Mild sore throat</x:v>
      </x:c>
      <x:c r="F22" s="37" t="str">
        <x:v>Two days of sore throat and nasal congestion; drinking normally, no breathing difficulty.</x:v>
      </x:c>
      <x:c r="G22" s="37" t="str">
        <x:v>2 days</x:v>
      </x:c>
      <x:c r="H22" s="37" t="str">
        <x:v>2026-09-01 08:51 IST</x:v>
      </x:c>
      <x:c r="I22" s="37" t="str">
        <x:v>Walk-in</x:v>
      </x:c>
      <x:c r="J22" s="38" t="n">
        <x:v>76</x:v>
      </x:c>
      <x:c r="K22" s="38" t="n">
        <x:v>16</x:v>
      </x:c>
      <x:c r="L22" s="38" t="n">
        <x:v>99</x:v>
      </x:c>
      <x:c r="M22" s="38" t="n">
        <x:v>114</x:v>
      </x:c>
      <x:c r="N22" s="38" t="n">
        <x:v>70</x:v>
      </x:c>
      <x:c r="O22" s="38" t="n">
        <x:v>37.1</x:v>
      </x:c>
      <x:c r="P22" s="38" t="str">
        <x:v>A</x:v>
      </x:c>
      <x:c r="Q22" s="38" t="n">
        <x:v>15</x:v>
      </x:c>
      <x:c r="R22" s="39" t="n">
        <x:v>2</x:v>
      </x:c>
      <x:c r="S22" s="40" t="b">
        <x:v>0</x:v>
      </x:c>
      <x:c r="T22" s="37" t="str">
        <x:v>No prior hospital record available.</x:v>
      </x:c>
      <x:c r="U22" s="37" t="str">
        <x:v>Unknown</x:v>
      </x:c>
      <x:c r="V22" s="37" t="str">
        <x:v>No red-flag symptoms represented; examination remains clinician-owned.</x:v>
      </x:c>
      <x:c r="W22" s="40" t="b">
        <x:v>0</x:v>
      </x:c>
      <x:c r="X22" s="40" t="b">
        <x:v>0</x:v>
      </x:c>
      <x:c r="Y22" s="39" t="n">
        <x:v>0</x:v>
      </x:c>
      <x:c r="Z22" s="37" t="str">
        <x:v>No ED resource anticipated beyond examination and discharge advice.</x:v>
      </x:c>
      <x:c r="AA22" s="40" t="b">
        <x:v>0</x:v>
      </x:c>
      <x:c r="AB22" s="39" t="n">
        <x:v>5</x:v>
      </x:c>
      <x:c r="AC22" s="37" t="str">
        <x:v>Stable minor complaint with no anticipated ED resources.</x:v>
      </x:c>
      <x:c r="AD22" s="37" t="str">
        <x:v>Airway symptoms, dehydration or immunocompromise would alter urgency; absent or unknown here.</x:v>
      </x:c>
      <x:c r="AE22" s="37" t="str">
        <x:v>esi5;zero_history;minor_illness</x:v>
      </x:c>
      <x:c r="AF22" s="37" t="str">
        <x:v>Pending clinician review</x:v>
      </x:c>
      <x:c r="AG22" s="41" t="b">
        <x:v>0</x:v>
      </x:c>
    </x:row>
    <x:row r="23" ht="72" customHeight="1">
      <x:c r="A23" s="35" t="str">
        <x:v>PT-019</x:v>
      </x:c>
      <x:c r="B23" s="36" t="n">
        <x:v>70</x:v>
      </x:c>
      <x:c r="C23" s="37" t="str">
        <x:v>Geriatric</x:v>
      </x:c>
      <x:c r="D23" s="37" t="str">
        <x:v>Male</x:v>
      </x:c>
      <x:c r="E23" s="37" t="str">
        <x:v>Medication refill request</x:v>
      </x:c>
      <x:c r="F23" s="37" t="str">
        <x:v>Ran out of stable antihypertensive medication; asymptomatic with no acute complaint.</x:v>
      </x:c>
      <x:c r="G23" s="37" t="str">
        <x:v>Not applicable</x:v>
      </x:c>
      <x:c r="H23" s="37" t="str">
        <x:v>2026-09-01 08:54 IST</x:v>
      </x:c>
      <x:c r="I23" s="37" t="str">
        <x:v>Walk-in</x:v>
      </x:c>
      <x:c r="J23" s="38" t="n">
        <x:v>74</x:v>
      </x:c>
      <x:c r="K23" s="38" t="n">
        <x:v>16</x:v>
      </x:c>
      <x:c r="L23" s="38" t="n">
        <x:v>98</x:v>
      </x:c>
      <x:c r="M23" s="38" t="n">
        <x:v>146</x:v>
      </x:c>
      <x:c r="N23" s="38" t="n">
        <x:v>86</x:v>
      </x:c>
      <x:c r="O23" s="38" t="n">
        <x:v>36.4</x:v>
      </x:c>
      <x:c r="P23" s="38" t="str">
        <x:v>A</x:v>
      </x:c>
      <x:c r="Q23" s="38" t="n">
        <x:v>15</x:v>
      </x:c>
      <x:c r="R23" s="39" t="n">
        <x:v>0</x:v>
      </x:c>
      <x:c r="S23" s="40" t="b">
        <x:v>1</x:v>
      </x:c>
      <x:c r="T23" s="37" t="str">
        <x:v>Hypertension; stable medication list and recent outpatient visit available.</x:v>
      </x:c>
      <x:c r="U23" s="37" t="str">
        <x:v>NKDA</x:v>
      </x:c>
      <x:c r="V23" s="37" t="str">
        <x:v>Medication reconciliation is available from prior record.</x:v>
      </x:c>
      <x:c r="W23" s="40" t="b">
        <x:v>0</x:v>
      </x:c>
      <x:c r="X23" s="40" t="b">
        <x:v>0</x:v>
      </x:c>
      <x:c r="Y23" s="39" t="n">
        <x:v>0</x:v>
      </x:c>
      <x:c r="Z23" s="37" t="str">
        <x:v>No ED resource anticipated beyond examination/prescription workflow.</x:v>
      </x:c>
      <x:c r="AA23" s="40" t="b">
        <x:v>0</x:v>
      </x:c>
      <x:c r="AB23" s="39" t="n">
        <x:v>5</x:v>
      </x:c>
      <x:c r="AC23" s="37" t="str">
        <x:v>Asymptomatic request with no anticipated ED resources.</x:v>
      </x:c>
      <x:c r="AD23" s="37" t="str">
        <x:v>Symptoms or markedly abnormal confirmed blood pressure would require reassessment; absent here.</x:v>
      </x:c>
      <x:c r="AE23" s="37" t="str">
        <x:v>esi5;geriatric;prior_history;medication_request</x:v>
      </x:c>
      <x:c r="AF23" s="37" t="str">
        <x:v>Pending clinician review</x:v>
      </x:c>
      <x:c r="AG23" s="41" t="b">
        <x:v>0</x:v>
      </x:c>
    </x:row>
    <x:row r="24" ht="72" customHeight="1">
      <x:c r="A24" s="42" t="str">
        <x:v>PT-020</x:v>
      </x:c>
      <x:c r="B24" s="43" t="n">
        <x:v>38</x:v>
      </x:c>
      <x:c r="C24" s="44" t="str">
        <x:v>Adult</x:v>
      </x:c>
      <x:c r="D24" s="44" t="str">
        <x:v>Female</x:v>
      </x:c>
      <x:c r="E24" s="44" t="str">
        <x:v>Localized insect bite</x:v>
      </x:c>
      <x:c r="F24" s="44" t="str">
        <x:v>Small itchy area on forearm; no facial swelling, wheeze, vomiting or systemic symptoms.</x:v>
      </x:c>
      <x:c r="G24" s="44" t="str">
        <x:v>4 hours</x:v>
      </x:c>
      <x:c r="H24" s="44" t="str">
        <x:v>2026-09-01 08:57 IST</x:v>
      </x:c>
      <x:c r="I24" s="44" t="str">
        <x:v>Walk-in</x:v>
      </x:c>
      <x:c r="J24" s="45" t="n">
        <x:v>80</x:v>
      </x:c>
      <x:c r="K24" s="45" t="n">
        <x:v>16</x:v>
      </x:c>
      <x:c r="L24" s="45" t="n">
        <x:v>99</x:v>
      </x:c>
      <x:c r="M24" s="45" t="n">
        <x:v>120</x:v>
      </x:c>
      <x:c r="N24" s="45" t="n">
        <x:v>76</x:v>
      </x:c>
      <x:c r="O24" s="45" t="n">
        <x:v>36.6</x:v>
      </x:c>
      <x:c r="P24" s="45" t="str">
        <x:v>A</x:v>
      </x:c>
      <x:c r="Q24" s="45" t="n">
        <x:v>15</x:v>
      </x:c>
      <x:c r="R24" s="46" t="n">
        <x:v>1</x:v>
      </x:c>
      <x:c r="S24" s="47" t="b">
        <x:v>0</x:v>
      </x:c>
      <x:c r="T24" s="44" t="str">
        <x:v>First visit; allergy history not available in hospital records.</x:v>
      </x:c>
      <x:c r="U24" s="44" t="str">
        <x:v>Unknown</x:v>
      </x:c>
      <x:c r="V24" s="44" t="str">
        <x:v>Explicit contrast case to PT-003; current systemic red flags are absent.</x:v>
      </x:c>
      <x:c r="W24" s="47" t="b">
        <x:v>0</x:v>
      </x:c>
      <x:c r="X24" s="47" t="b">
        <x:v>0</x:v>
      </x:c>
      <x:c r="Y24" s="46" t="n">
        <x:v>0</x:v>
      </x:c>
      <x:c r="Z24" s="44" t="str">
        <x:v>No ED resource anticipated beyond examination and advice.</x:v>
      </x:c>
      <x:c r="AA24" s="47" t="b">
        <x:v>0</x:v>
      </x:c>
      <x:c r="AB24" s="46" t="n">
        <x:v>5</x:v>
      </x:c>
      <x:c r="AC24" s="44" t="str">
        <x:v>Stable localized complaint with no anticipated ED resources.</x:v>
      </x:c>
      <x:c r="AD24" s="44" t="str">
        <x:v>Any progression toward systemic allergic symptoms requires immediate reassessment.</x:v>
      </x:c>
      <x:c r="AE24" s="44" t="str">
        <x:v>esi5;zero_history;minor_illness;contrast_case</x:v>
      </x:c>
      <x:c r="AF24" s="44" t="str">
        <x:v>Pending clinician review</x:v>
      </x:c>
      <x:c r="AG24" s="48" t="b">
        <x:v>1</x:v>
      </x:c>
    </x:row>
  </x:sheetData>
  <x:mergeCells>
    <x:mergeCell ref="A1:AG1"/>
    <x:mergeCell ref="A2:AG2"/>
  </x:mergeCells>
  <x:conditionalFormatting sqref="AB5:AB24">
    <x:cfRule type="cellIs" dxfId="0" priority="1" operator="equal">
      <x:formula>1</x:formula>
    </x:cfRule>
    <x:cfRule type="cellIs" dxfId="1" priority="2" operator="equal">
      <x:formula>2</x:formula>
    </x:cfRule>
    <x:cfRule type="cellIs" dxfId="2" priority="3" operator="equal">
      <x:formula>3</x:formula>
    </x:cfRule>
    <x:cfRule type="cellIs" dxfId="3" priority="4" operator="equal">
      <x:formula>4</x:formula>
    </x:cfRule>
    <x:cfRule type="cellIs" dxfId="4" priority="5" operator="equal">
      <x:formula>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9f2d5f35559475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50" t="str">
        <x:v>Dataset Coverage &amp; Acceptance Checks</x:v>
      </x:c>
      <x:c r="B1" s="50"/>
      <x:c r="C1" s="50"/>
      <x:c r="D1" s="50"/>
    </x:row>
    <x:row r="3">
      <x:c r="A3" s="51" t="str">
        <x:v>Check</x:v>
      </x:c>
      <x:c r="B3" s="51" t="str">
        <x:v>Observed</x:v>
      </x:c>
      <x:c r="C3" s="51" t="str">
        <x:v>Target</x:v>
      </x:c>
      <x:c r="D3" s="51" t="str">
        <x:v>Status</x:v>
      </x:c>
    </x:row>
    <x:row r="4">
      <x:c r="A4" s="52" t="str">
        <x:v>Total records</x:v>
      </x:c>
      <x:c r="B4" s="52" t="n">
        <x:f>COUNTA('Patients'!A5:A24)</x:f>
        <x:v>20</x:v>
      </x:c>
      <x:c r="C4" s="52" t="str">
        <x:v>15-20</x:v>
      </x:c>
      <x:c r="D4" s="52" t="str">
        <x:f>IF(AND(B4&gt;=15,B4&lt;=20),"PASS","CHECK")</x:f>
        <x:v>PASS</x:v>
      </x:c>
    </x:row>
    <x:row r="5">
      <x:c r="A5" s="52" t="str">
        <x:v>ESI 1 cases</x:v>
      </x:c>
      <x:c r="B5" s="52" t="n">
        <x:f>COUNTIF('Patients'!AB5:AB24,1)</x:f>
        <x:v>3</x:v>
      </x:c>
      <x:c r="C5" s="52" t="str">
        <x:v>&gt;=1</x:v>
      </x:c>
      <x:c r="D5" s="52" t="str">
        <x:f>IF(B5&gt;=1,"PASS","CHECK")</x:f>
        <x:v>PASS</x:v>
      </x:c>
    </x:row>
    <x:row r="6">
      <x:c r="A6" s="52" t="str">
        <x:v>ESI 2 cases</x:v>
      </x:c>
      <x:c r="B6" s="52" t="n">
        <x:f>COUNTIF('Patients'!AB5:AB24,2)</x:f>
        <x:v>5</x:v>
      </x:c>
      <x:c r="C6" s="52" t="str">
        <x:v>&gt;=1</x:v>
      </x:c>
      <x:c r="D6" s="52" t="str">
        <x:f>IF(B6&gt;=1,"PASS","CHECK")</x:f>
        <x:v>PASS</x:v>
      </x:c>
    </x:row>
    <x:row r="7">
      <x:c r="A7" s="52" t="str">
        <x:v>ESI 3 cases</x:v>
      </x:c>
      <x:c r="B7" s="52" t="n">
        <x:f>COUNTIF('Patients'!AB5:AB24,3)</x:f>
        <x:v>6</x:v>
      </x:c>
      <x:c r="C7" s="52" t="str">
        <x:v>&gt;=1</x:v>
      </x:c>
      <x:c r="D7" s="52" t="str">
        <x:f>IF(B7&gt;=1,"PASS","CHECK")</x:f>
        <x:v>PASS</x:v>
      </x:c>
    </x:row>
    <x:row r="8">
      <x:c r="A8" s="52" t="str">
        <x:v>ESI 4 cases</x:v>
      </x:c>
      <x:c r="B8" s="52" t="n">
        <x:f>COUNTIF('Patients'!AB5:AB24,4)</x:f>
        <x:v>3</x:v>
      </x:c>
      <x:c r="C8" s="52" t="str">
        <x:v>&gt;=1</x:v>
      </x:c>
      <x:c r="D8" s="52" t="str">
        <x:f>IF(B8&gt;=1,"PASS","CHECK")</x:f>
        <x:v>PASS</x:v>
      </x:c>
    </x:row>
    <x:row r="9">
      <x:c r="A9" s="52" t="str">
        <x:v>ESI 5 cases</x:v>
      </x:c>
      <x:c r="B9" s="52" t="n">
        <x:f>COUNTIF('Patients'!AB5:AB24,5)</x:f>
        <x:v>3</x:v>
      </x:c>
      <x:c r="C9" s="52" t="str">
        <x:v>&gt;=1</x:v>
      </x:c>
      <x:c r="D9" s="52" t="str">
        <x:f>IF(B9&gt;=1,"PASS","CHECK")</x:f>
        <x:v>PASS</x:v>
      </x:c>
    </x:row>
    <x:row r="10">
      <x:c r="A10" s="52" t="str">
        <x:v>Pediatric cases</x:v>
      </x:c>
      <x:c r="B10" s="52" t="n">
        <x:f>COUNTIF('Patients'!C5:C24,"Pediatric")</x:f>
        <x:v>3</x:v>
      </x:c>
      <x:c r="C10" s="52" t="str">
        <x:v>&gt;=1</x:v>
      </x:c>
      <x:c r="D10" s="52" t="str">
        <x:f>IF(B10&gt;=1,"PASS","CHECK")</x:f>
        <x:v>PASS</x:v>
      </x:c>
    </x:row>
    <x:row r="11">
      <x:c r="A11" s="52" t="str">
        <x:v>Geriatric cases</x:v>
      </x:c>
      <x:c r="B11" s="52" t="n">
        <x:f>COUNTIF('Patients'!C5:C24,"Geriatric")</x:f>
        <x:v>4</x:v>
      </x:c>
      <x:c r="C11" s="52" t="str">
        <x:v>&gt;=1</x:v>
      </x:c>
      <x:c r="D11" s="52" t="str">
        <x:f>IF(B11&gt;=1,"PASS","CHECK")</x:f>
        <x:v>PASS</x:v>
      </x:c>
    </x:row>
    <x:row r="12">
      <x:c r="A12" s="52" t="str">
        <x:v>Ambiguous cases</x:v>
      </x:c>
      <x:c r="B12" s="52" t="n">
        <x:f>COUNTIF('Patients'!AA5:AA24,1)</x:f>
        <x:v>3</x:v>
      </x:c>
      <x:c r="C12" s="52" t="str">
        <x:v>&gt;=1</x:v>
      </x:c>
      <x:c r="D12" s="52" t="str">
        <x:f>IF(B12&gt;=1,"PASS","CHECK")</x:f>
        <x:v>PASS</x:v>
      </x:c>
    </x:row>
    <x:row r="13">
      <x:c r="A13" s="52" t="str">
        <x:v>Zero-history cases</x:v>
      </x:c>
      <x:c r="B13" s="52" t="n">
        <x:f>COUNTIF('Patients'!S5:S24,0)</x:f>
        <x:v>10</x:v>
      </x:c>
      <x:c r="C13" s="52" t="str">
        <x:v>&gt;=1</x:v>
      </x:c>
      <x:c r="D13" s="52" t="str">
        <x:f>IF(B13&gt;=1,"PASS","CHECK")</x:f>
        <x:v>PASS</x:v>
      </x:c>
    </x:row>
    <x:row r="14">
      <x:c r="A14" s="52" t="str">
        <x:v>Prior-history cases</x:v>
      </x:c>
      <x:c r="B14" s="52" t="n">
        <x:f>COUNTIF('Patients'!S5:S24,1)</x:f>
        <x:v>10</x:v>
      </x:c>
      <x:c r="C14" s="52" t="str">
        <x:v>~50%</x:v>
      </x:c>
      <x:c r="D14" s="52" t="str">
        <x:f>IF(ABS(B14-B13)&lt;=2,"PASS","CHECK")</x:f>
        <x:v>PASS</x:v>
      </x:c>
    </x:row>
    <x:row r="15">
      <x:c r="A15" s="52" t="str">
        <x:v>Reassessment candidates</x:v>
      </x:c>
      <x:c r="B15" s="52" t="n">
        <x:f>COUNTIF('Patients'!AG5:AG24,1)</x:f>
        <x:v>9</x:v>
      </x:c>
      <x:c r="C15" s="52" t="str">
        <x:v>&gt;=1</x:v>
      </x:c>
      <x:c r="D15" s="52" t="str">
        <x:f>IF(B15&gt;=1,"PASS","CHECK")</x:f>
        <x:v>PASS</x:v>
      </x:c>
    </x:row>
    <x:row r="16">
      <x:c r="A16" s="52" t="str">
        <x:v>Labels pending clinician review</x:v>
      </x:c>
      <x:c r="B16" s="52" t="n">
        <x:f>COUNTIF('Patients'!AF5:AF24,"Pending clinician review")</x:f>
        <x:v>20</x:v>
      </x:c>
      <x:c r="C16" s="52" t="str">
        <x:v>20</x:v>
      </x:c>
      <x:c r="D16" s="52" t="str">
        <x:f>IF(B16=B4,"PASS","CHECK")</x:f>
        <x:v>PASS</x:v>
      </x:c>
    </x:row>
    <x:row r="19">
      <x:c r="A19" s="7" t="str">
        <x:v>Interpretation: coverage checks validate dataset composition only. They do not clinically validate the reference ESI labels.</x:v>
      </x:c>
      <x:c r="B19" s="7"/>
      <x:c r="C19" s="7"/>
      <x:c r="D19" s="7"/>
    </x:row>
    <x:row r="20">
      <x:c r="A20" s="7"/>
      <x:c r="B20" s="7"/>
      <x:c r="C20" s="7"/>
      <x:c r="D20" s="7"/>
    </x:row>
    <x:row r="21">
      <x:c r="A21" s="7"/>
      <x:c r="B21" s="7"/>
      <x:c r="C21" s="7"/>
      <x:c r="D21" s="7"/>
    </x:row>
  </x:sheetData>
  <x:mergeCells>
    <x:mergeCell ref="A1:D1"/>
    <x:mergeCell ref="A19:D19"/>
    <x:mergeCell ref="A20:D20"/>
    <x:mergeCell ref="A21:D21"/>
  </x:mergeCells>
  <x:conditionalFormatting sqref="D4:D16">
    <x:cfRule type="containsText" dxfId="5" priority="1" operator="containsText" text="PASS"/>
    <x:cfRule type="containsText" dxfId="6" priority="2" operator="containsText" text="CHECK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24" hidden="0" customWidth="1"/>
    <x:col min="4" max="4" width="66" hidden="0" customWidth="1"/>
  </x:cols>
  <x:sheetData>
    <x:row r="1">
      <x:c r="A1" s="50" t="str">
        <x:v>Field Codebook</x:v>
      </x:c>
      <x:c r="B1" s="50"/>
      <x:c r="C1" s="50"/>
      <x:c r="D1" s="50"/>
    </x:row>
    <x:row r="3">
      <x:c r="A3" s="56" t="str">
        <x:v>Field</x:v>
      </x:c>
      <x:c r="B3" s="57" t="str">
        <x:v>Type</x:v>
      </x:c>
      <x:c r="C3" s="57" t="str">
        <x:v>Unit / allowed range</x:v>
      </x:c>
      <x:c r="D3" s="58" t="str">
        <x:v>Description</x:v>
      </x:c>
    </x:row>
    <x:row r="4">
      <x:c r="A4" s="35" t="str">
        <x:v>patient_id</x:v>
      </x:c>
      <x:c r="B4" s="37" t="str">
        <x:v>string</x:v>
      </x:c>
      <x:c r="C4" s="37" t="str"/>
      <x:c r="D4" s="59" t="str">
        <x:v>Unique synthetic encounter identifier</x:v>
      </x:c>
    </x:row>
    <x:row r="5">
      <x:c r="A5" s="35" t="str">
        <x:v>age_years</x:v>
      </x:c>
      <x:c r="B5" s="37" t="str">
        <x:v>number</x:v>
      </x:c>
      <x:c r="C5" s="37" t="str">
        <x:v>years</x:v>
      </x:c>
      <x:c r="D5" s="59" t="str">
        <x:v>Age at arrival; decimals permitted for infants</x:v>
      </x:c>
    </x:row>
    <x:row r="6">
      <x:c r="A6" s="35" t="str">
        <x:v>age_group</x:v>
      </x:c>
      <x:c r="B6" s="37" t="str">
        <x:v>enum</x:v>
      </x:c>
      <x:c r="C6" s="37" t="str"/>
      <x:c r="D6" s="59" t="str">
        <x:v>Pediatric (&lt;18), Adult (18-64), or Geriatric (65+)</x:v>
      </x:c>
    </x:row>
    <x:row r="7">
      <x:c r="A7" s="35" t="str">
        <x:v>sex_at_birth</x:v>
      </x:c>
      <x:c r="B7" s="37" t="str">
        <x:v>enum</x:v>
      </x:c>
      <x:c r="C7" s="37" t="str"/>
      <x:c r="D7" s="59" t="str">
        <x:v>Synthetic demographic field; not used alone to determine acuity</x:v>
      </x:c>
    </x:row>
    <x:row r="8">
      <x:c r="A8" s="35" t="str">
        <x:v>chief_complaint</x:v>
      </x:c>
      <x:c r="B8" s="37" t="str">
        <x:v>string</x:v>
      </x:c>
      <x:c r="C8" s="37" t="str"/>
      <x:c r="D8" s="59" t="str">
        <x:v>Short presenting complaint</x:v>
      </x:c>
    </x:row>
    <x:row r="9">
      <x:c r="A9" s="35" t="str">
        <x:v>presenting_details</x:v>
      </x:c>
      <x:c r="B9" s="37" t="str">
        <x:v>string</x:v>
      </x:c>
      <x:c r="C9" s="37" t="str"/>
      <x:c r="D9" s="59" t="str">
        <x:v>Synthetic initial presentation narrative</x:v>
      </x:c>
    </x:row>
    <x:row r="10">
      <x:c r="A10" s="35" t="str">
        <x:v>symptom_onset</x:v>
      </x:c>
      <x:c r="B10" s="37" t="str">
        <x:v>string</x:v>
      </x:c>
      <x:c r="C10" s="37" t="str"/>
      <x:c r="D10" s="59" t="str">
        <x:v>Approximate duration or onset timing</x:v>
      </x:c>
    </x:row>
    <x:row r="11">
      <x:c r="A11" s="35" t="str">
        <x:v>arrival_timestamp</x:v>
      </x:c>
      <x:c r="B11" s="37" t="str">
        <x:v>ISO-8601 string</x:v>
      </x:c>
      <x:c r="C11" s="37" t="str">
        <x:v>Asia/Kolkata (+05:30)</x:v>
      </x:c>
      <x:c r="D11" s="59" t="str">
        <x:v>Fixed replay timestamp for deterministic demos</x:v>
      </x:c>
    </x:row>
    <x:row r="12">
      <x:c r="A12" s="35" t="str">
        <x:v>arrival_mode</x:v>
      </x:c>
      <x:c r="B12" s="37" t="str">
        <x:v>enum</x:v>
      </x:c>
      <x:c r="C12" s="37" t="str"/>
      <x:c r="D12" s="59" t="str">
        <x:v>Ambulance, walk-in, or caregiver-assisted arrival</x:v>
      </x:c>
    </x:row>
    <x:row r="13">
      <x:c r="A13" s="35" t="str">
        <x:v>hr_bpm</x:v>
      </x:c>
      <x:c r="B13" s="37" t="str">
        <x:v>number|null</x:v>
      </x:c>
      <x:c r="C13" s="37" t="str">
        <x:v>beats/min</x:v>
      </x:c>
      <x:c r="D13" s="59" t="str">
        <x:v>Initial heart rate; null when not measurable</x:v>
      </x:c>
    </x:row>
    <x:row r="14">
      <x:c r="A14" s="35" t="str">
        <x:v>rr_bpm</x:v>
      </x:c>
      <x:c r="B14" s="37" t="str">
        <x:v>number|null</x:v>
      </x:c>
      <x:c r="C14" s="37" t="str">
        <x:v>breaths/min</x:v>
      </x:c>
      <x:c r="D14" s="59" t="str">
        <x:v>Initial respiratory rate; null when not measurable</x:v>
      </x:c>
    </x:row>
    <x:row r="15">
      <x:c r="A15" s="35" t="str">
        <x:v>spo2_pct</x:v>
      </x:c>
      <x:c r="B15" s="37" t="str">
        <x:v>number|null</x:v>
      </x:c>
      <x:c r="C15" s="37" t="str">
        <x:v>%</x:v>
      </x:c>
      <x:c r="D15" s="59" t="str">
        <x:v>Initial oxygen saturation; null when not measurable</x:v>
      </x:c>
    </x:row>
    <x:row r="16">
      <x:c r="A16" s="35" t="str">
        <x:v>sbp_mmhg</x:v>
      </x:c>
      <x:c r="B16" s="37" t="str">
        <x:v>number|null</x:v>
      </x:c>
      <x:c r="C16" s="37" t="str">
        <x:v>mmHg</x:v>
      </x:c>
      <x:c r="D16" s="59" t="str">
        <x:v>Initial systolic blood pressure</x:v>
      </x:c>
    </x:row>
    <x:row r="17">
      <x:c r="A17" s="35" t="str">
        <x:v>dbp_mmhg</x:v>
      </x:c>
      <x:c r="B17" s="37" t="str">
        <x:v>number|null</x:v>
      </x:c>
      <x:c r="C17" s="37" t="str">
        <x:v>mmHg</x:v>
      </x:c>
      <x:c r="D17" s="59" t="str">
        <x:v>Initial diastolic blood pressure</x:v>
      </x:c>
    </x:row>
    <x:row r="18">
      <x:c r="A18" s="35" t="str">
        <x:v>temp_c</x:v>
      </x:c>
      <x:c r="B18" s="37" t="str">
        <x:v>number|null</x:v>
      </x:c>
      <x:c r="C18" s="37" t="str">
        <x:v>degrees Celsius</x:v>
      </x:c>
      <x:c r="D18" s="59" t="str">
        <x:v>Initial temperature</x:v>
      </x:c>
    </x:row>
    <x:row r="19">
      <x:c r="A19" s="35" t="str">
        <x:v>avpu</x:v>
      </x:c>
      <x:c r="B19" s="37" t="str">
        <x:v>enum</x:v>
      </x:c>
      <x:c r="C19" s="37" t="str"/>
      <x:c r="D19" s="59" t="str">
        <x:v>Alert, Voice, Pain, Unresponsive</x:v>
      </x:c>
    </x:row>
    <x:row r="20">
      <x:c r="A20" s="35" t="str">
        <x:v>gcs</x:v>
      </x:c>
      <x:c r="B20" s="37" t="str">
        <x:v>integer</x:v>
      </x:c>
      <x:c r="C20" s="37" t="str">
        <x:v>3-15</x:v>
      </x:c>
      <x:c r="D20" s="59" t="str">
        <x:v>Synthetic Glasgow Coma Scale value</x:v>
      </x:c>
    </x:row>
    <x:row r="21">
      <x:c r="A21" s="35" t="str">
        <x:v>pain_score_0_10</x:v>
      </x:c>
      <x:c r="B21" s="37" t="str">
        <x:v>number|null</x:v>
      </x:c>
      <x:c r="C21" s="37" t="str">
        <x:v>0-10</x:v>
      </x:c>
      <x:c r="D21" s="59" t="str">
        <x:v>Self-reported pain; null when unavailable/inappropriate</x:v>
      </x:c>
    </x:row>
    <x:row r="22">
      <x:c r="A22" s="35" t="str">
        <x:v>has_prior_history</x:v>
      </x:c>
      <x:c r="B22" s="37" t="str">
        <x:v>boolean</x:v>
      </x:c>
      <x:c r="C22" s="37" t="str"/>
      <x:c r="D22" s="59" t="str">
        <x:v>Whether some prior hospital record is available</x:v>
      </x:c>
    </x:row>
    <x:row r="23">
      <x:c r="A23" s="35" t="str">
        <x:v>history_summary</x:v>
      </x:c>
      <x:c r="B23" s="37" t="str">
        <x:v>string</x:v>
      </x:c>
      <x:c r="C23" s="37" t="str"/>
      <x:c r="D23" s="59" t="str">
        <x:v>Available history or explicit statement that history is unknown</x:v>
      </x:c>
    </x:row>
    <x:row r="24">
      <x:c r="A24" s="35" t="str">
        <x:v>allergies_status</x:v>
      </x:c>
      <x:c r="B24" s="37" t="str">
        <x:v>string</x:v>
      </x:c>
      <x:c r="C24" s="37" t="str"/>
      <x:c r="D24" s="59" t="str">
        <x:v>Known allergy summary or Unknown/NKDA</x:v>
      </x:c>
    </x:row>
    <x:row r="25">
      <x:c r="A25" s="35" t="str">
        <x:v>data_quality_notes</x:v>
      </x:c>
      <x:c r="B25" s="37" t="str">
        <x:v>string</x:v>
      </x:c>
      <x:c r="C25" s="37" t="str"/>
      <x:c r="D25" s="59" t="str">
        <x:v>Missingness, provenance, or reliability notes</x:v>
      </x:c>
    </x:row>
    <x:row r="26">
      <x:c r="A26" s="35" t="str">
        <x:v>immediate_lifesaving_intervention</x:v>
      </x:c>
      <x:c r="B26" s="37" t="str">
        <x:v>boolean</x:v>
      </x:c>
      <x:c r="C26" s="37" t="str"/>
      <x:c r="D26" s="59" t="str">
        <x:v>Synthetic ESI decision-point-A indicator</x:v>
      </x:c>
    </x:row>
    <x:row r="27">
      <x:c r="A27" s="35" t="str">
        <x:v>high_risk_presentation</x:v>
      </x:c>
      <x:c r="B27" s="37" t="str">
        <x:v>boolean</x:v>
      </x:c>
      <x:c r="C27" s="37" t="str"/>
      <x:c r="D27" s="59" t="str">
        <x:v>Synthetic high-risk/time-sensitive decision-point indicator</x:v>
      </x:c>
    </x:row>
    <x:row r="28">
      <x:c r="A28" s="35" t="str">
        <x:v>expected_resource_count</x:v>
      </x:c>
      <x:c r="B28" s="37" t="str">
        <x:v>integer|null</x:v>
      </x:c>
      <x:c r="C28" s="37" t="str">
        <x:v>count</x:v>
      </x:c>
      <x:c r="D28" s="59" t="str">
        <x:v>Simplified expected ED-resource count; null when resource prediction is not used</x:v>
      </x:c>
    </x:row>
    <x:row r="29">
      <x:c r="A29" s="35" t="str">
        <x:v>expected_resources</x:v>
      </x:c>
      <x:c r="B29" s="37" t="str">
        <x:v>string</x:v>
      </x:c>
      <x:c r="C29" s="37" t="str"/>
      <x:c r="D29" s="59" t="str">
        <x:v>Human-readable resource expectation; not a treatment order</x:v>
      </x:c>
    </x:row>
    <x:row r="30">
      <x:c r="A30" s="35" t="str">
        <x:v>ambiguity_flag</x:v>
      </x:c>
      <x:c r="B30" s="37" t="str">
        <x:v>boolean</x:v>
      </x:c>
      <x:c r="C30" s="37" t="str"/>
      <x:c r="D30" s="59" t="str">
        <x:v>Presentation intentionally contains competing plausible interpretations</x:v>
      </x:c>
    </x:row>
    <x:row r="31">
      <x:c r="A31" s="35" t="str">
        <x:v>reference_esi</x:v>
      </x:c>
      <x:c r="B31" s="37" t="str">
        <x:v>integer</x:v>
      </x:c>
      <x:c r="C31" s="37" t="str">
        <x:v>1-5</x:v>
      </x:c>
      <x:c r="D31" s="59" t="str">
        <x:v>Synthetic reference label pending qualified clinician review</x:v>
      </x:c>
    </x:row>
    <x:row r="32">
      <x:c r="A32" s="35" t="str">
        <x:v>reference_label_rationale</x:v>
      </x:c>
      <x:c r="B32" s="37" t="str">
        <x:v>string</x:v>
      </x:c>
      <x:c r="C32" s="37" t="str"/>
      <x:c r="D32" s="59" t="str">
        <x:v>Short defensible rationale for the reference label</x:v>
      </x:c>
    </x:row>
    <x:row r="33">
      <x:c r="A33" s="35" t="str">
        <x:v>uncertainty_notes</x:v>
      </x:c>
      <x:c r="B33" s="37" t="str">
        <x:v>string</x:v>
      </x:c>
      <x:c r="C33" s="37" t="str"/>
      <x:c r="D33" s="59" t="str">
        <x:v>Factors that could change acuity or require deferral</x:v>
      </x:c>
    </x:row>
    <x:row r="34">
      <x:c r="A34" s="35" t="str">
        <x:v>scenario_tags</x:v>
      </x:c>
      <x:c r="B34" s="37" t="str">
        <x:v>semicolon list</x:v>
      </x:c>
      <x:c r="C34" s="37" t="str"/>
      <x:c r="D34" s="59" t="str">
        <x:v>Tags used by later tests and demo filters</x:v>
      </x:c>
    </x:row>
    <x:row r="35">
      <x:c r="A35" s="35" t="str">
        <x:v>clinician_review_status</x:v>
      </x:c>
      <x:c r="B35" s="37" t="str">
        <x:v>enum</x:v>
      </x:c>
      <x:c r="C35" s="37" t="str"/>
      <x:c r="D35" s="59" t="str">
        <x:v>Pending clinician review until formally reviewed</x:v>
      </x:c>
    </x:row>
    <x:row r="36">
      <x:c r="A36" s="42" t="str">
        <x:v>reassessment_scenario</x:v>
      </x:c>
      <x:c r="B36" s="44" t="str">
        <x:v>boolean</x:v>
      </x:c>
      <x:c r="C36" s="44" t="str"/>
      <x:c r="D36" s="60" t="str">
        <x:v>Candidate for later waiting-room/reassessment simulation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50" t="str">
        <x:v>Reference Label Guidance &amp; Safety Notes</x:v>
      </x:c>
      <x:c r="B1" s="50"/>
      <x:c r="C1" s="50"/>
      <x:c r="D1" s="50"/>
      <x:c r="E1" s="50"/>
      <x:c r="F1" s="50"/>
    </x:row>
    <x:row r="3" ht="48" customHeight="1">
      <x:c r="A3" s="65" t="str">
        <x:v>Purpose</x:v>
      </x:c>
      <x:c r="B3" s="37" t="str">
        <x:v>Fixed synthetic data for development, demonstrations, tests, and discussion. Not real patient data.</x:v>
      </x:c>
    </x:row>
    <x:row r="4" ht="48" customHeight="1">
      <x:c r="A4" s="65" t="str">
        <x:v>Label status</x:v>
      </x:c>
      <x:c r="B4" s="37" t="str">
        <x:v>reference_esi values are provisional reference labels pending qualified emergency-clinician review; they are not clinical ground truth.</x:v>
      </x:c>
    </x:row>
    <x:row r="5" ht="48" customHeight="1">
      <x:c r="A5" s="65" t="str">
        <x:v>Framework</x:v>
      </x:c>
      <x:c r="B5" s="37" t="str">
        <x:v>The cases use the broad ESI decision sequence: immediate life-saving intervention, high-risk presentation, then expected resource use.</x:v>
      </x:c>
    </x:row>
    <x:row r="6" ht="48" customHeight="1">
      <x:c r="A6" s="65" t="str">
        <x:v>Uncertainty</x:v>
      </x:c>
      <x:c r="B6" s="37" t="str">
        <x:v>When case details are incomplete or multiple labels could be defensible, uncertainty_notes states what could change the label.</x:v>
      </x:c>
    </x:row>
    <x:row r="7" ht="48" customHeight="1">
      <x:c r="A7" s="65" t="str">
        <x:v>Safety boundary</x:v>
      </x:c>
      <x:c r="B7" s="37" t="str">
        <x:v>The future prototype must present recommendations for licensed-clinician confirmation and must not autonomously discharge, downgrade, or reroute patients.</x:v>
      </x:c>
    </x:row>
    <x:row r="8" ht="48" customHeight="1">
      <x:c r="A8" s="65" t="str">
        <x:v>Primary reference</x:v>
      </x:c>
      <x:c r="B8" s="37" t="str">
        <x:v>https://www.ena.org/education/emergency-nursing-triage-education-program/triage-portfolio</x:v>
      </x:c>
    </x:row>
    <x:row r="10">
      <x:c r="A10" s="68" t="str">
        <x:v>Before using these labels in judging materials, obtain documented review and record reviewer role, date, accepted level, and any change rationale in a separate versioned review file.</x:v>
      </x:c>
      <x:c r="B10" s="68"/>
      <x:c r="C10" s="68"/>
      <x:c r="D10" s="68"/>
      <x:c r="E10" s="68"/>
      <x:c r="F10" s="68"/>
    </x:row>
  </x:sheetData>
  <x:mergeCells>
    <x:mergeCell ref="A1:F1"/>
    <x:mergeCell ref="A10:F10"/>
  </x:mergeCells>
  <x:pageMargins left="0.7" right="0.7" top="0.75" bottom="0.75" header="0.3" footer="0.3"/>
</x:worksheet>
</file>