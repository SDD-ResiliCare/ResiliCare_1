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3176db596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c4a42fe664a428a"/>
    <x:sheet xmlns:r="http://schemas.openxmlformats.org/officeDocument/2006/relationships" name="Hospitals" sheetId="2" r:id="R23cd05ab0cbb4eb8"/>
    <x:sheet xmlns:r="http://schemas.openxmlformats.org/officeDocument/2006/relationships" name="Wards" sheetId="3" r:id="R3f4549c888c44fb6"/>
    <x:sheet xmlns:r="http://schemas.openxmlformats.org/officeDocument/2006/relationships" name="Staff" sheetId="4" r:id="R4dbaf2731e3d451f"/>
    <x:sheet xmlns:r="http://schemas.openxmlformats.org/officeDocument/2006/relationships" name="Staff_Wards" sheetId="5" r:id="Rfd1b270cb3bd4a33"/>
    <x:sheet xmlns:r="http://schemas.openxmlformats.org/officeDocument/2006/relationships" name="Patients" sheetId="6" r:id="R47c6fa6cd2854611"/>
    <x:sheet xmlns:r="http://schemas.openxmlformats.org/officeDocument/2006/relationships" name="Queue_Sessions" sheetId="7" r:id="R7d830221d2834adf"/>
    <x:sheet xmlns:r="http://schemas.openxmlformats.org/officeDocument/2006/relationships" name="Encounters" sheetId="8" r:id="R9b460e33c979418f"/>
    <x:sheet xmlns:r="http://schemas.openxmlformats.org/officeDocument/2006/relationships" name="Doctor_Assign" sheetId="9" r:id="R9635cd485096456d"/>
    <x:sheet xmlns:r="http://schemas.openxmlformats.org/officeDocument/2006/relationships" name="Nurse_Assign" sheetId="10" r:id="Rfa87aabe95ef4a7e"/>
    <x:sheet xmlns:r="http://schemas.openxmlformats.org/officeDocument/2006/relationships" name="Vitals" sheetId="11" r:id="R2fe94d023f444a9a"/>
    <x:sheet xmlns:r="http://schemas.openxmlformats.org/officeDocument/2006/relationships" name="Questions" sheetId="12" r:id="R8e957c4bbf314ff8"/>
    <x:sheet xmlns:r="http://schemas.openxmlformats.org/officeDocument/2006/relationships" name="Interviews" sheetId="13" r:id="R92a845fbf30a4589"/>
    <x:sheet xmlns:r="http://schemas.openxmlformats.org/officeDocument/2006/relationships" name="Responses" sheetId="14" r:id="Ra6b7c4cdcbc34ad3"/>
    <x:sheet xmlns:r="http://schemas.openxmlformats.org/officeDocument/2006/relationships" name="Triage" sheetId="15" r:id="R3adb4a8024a340ec"/>
    <x:sheet xmlns:r="http://schemas.openxmlformats.org/officeDocument/2006/relationships" name="Prescriptions" sheetId="16" r:id="Rc44c84cc36094196"/>
    <x:sheet xmlns:r="http://schemas.openxmlformats.org/officeDocument/2006/relationships" name="Rx_Items" sheetId="17" r:id="R203067390217471c"/>
    <x:sheet xmlns:r="http://schemas.openxmlformats.org/officeDocument/2006/relationships" name="Invoices" sheetId="18" r:id="Rbe26a12b820e45d2"/>
    <x:sheet xmlns:r="http://schemas.openxmlformats.org/officeDocument/2006/relationships" name="Invoice_Items" sheetId="19" r:id="Rd14fa68d504140fe"/>
    <x:sheet xmlns:r="http://schemas.openxmlformats.org/officeDocument/2006/relationships" name="Feedback" sheetId="20" r:id="R0e4323c71ad8414c"/>
    <x:sheet xmlns:r="http://schemas.openxmlformats.org/officeDocument/2006/relationships" name="Login_Accounts" sheetId="21" r:id="R822c2ec262544224"/>
    <x:sheet xmlns:r="http://schemas.openxmlformats.org/officeDocument/2006/relationships" name="Codebook" sheetId="22" r:id="R6dd2d89f96214b67"/>
  </x:sheets>
</x:workbook>
</file>

<file path=xl/comments1.xml><?xml version="1.0" encoding="utf-8"?>
<x:comments xmlns:x="http://schemas.openxmlformats.org/spreadsheetml/2006/main">
  <x:authors>
    <x:author>tc={DAB3F50C-95E1-4952-AC98-24EF9B527BFB}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All records are synthetic. Clinical fields exist only to exercise prototype workflows and must not be used for diagnosis, triage, or treatment.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6B4F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6B4F00"/>
      <x:name val="Aptos"/>
    </x:font>
    <x:font>
      <x:b/>
      <x:sz val="10"/>
      <x:name val="Aptos"/>
    </x:font>
    <x:font>
      <x:b/>
      <x:sz val="18"/>
      <x:color rgb="FFFFFFFF"/>
      <x:name val="Aptos Display"/>
    </x:font>
    <x:font>
      <x:sz val="9"/>
      <x:name val="Aptos"/>
    </x:font>
    <x:font>
      <x:b/>
      <x:sz val="9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53B5B"/>
      </x:patternFill>
    </x:fill>
    <x:fill>
      <x:patternFill patternType="solid">
        <x:fgColor rgb="FFFFF4CE"/>
      </x:patternFill>
    </x:fill>
    <x:fill>
      <x:patternFill patternType="solid">
        <x:fgColor rgb="FF167D7F"/>
      </x:patternFill>
    </x:fill>
    <x:fill>
      <x:patternFill patternType="solid">
        <x:fgColor rgb="FFE9F4F4"/>
      </x:patternFill>
    </x:fill>
    <x:fill>
      <x:patternFill patternType="solid">
        <x:fgColor rgb="FFF4F7F9"/>
      </x:patternFill>
    </x:fill>
  </x:fills>
  <x:borders count="10">
    <x:border/>
    <x:border>
      <x:right style="thin">
        <x:color rgb="FFD5E1E8"/>
      </x:right>
      <x:bottom style="thin">
        <x:color rgb="FFD5E1E8"/>
      </x:bottom>
    </x:border>
    <x:border>
      <x:left style="thin">
        <x:color rgb="FFD5E1E8"/>
      </x:left>
      <x:bottom style="thin">
        <x:color rgb="FFD5E1E8"/>
      </x:bottom>
    </x:border>
    <x:border>
      <x:right style="thin">
        <x:color rgb="FFD5E1E8"/>
      </x:right>
      <x:top style="thin">
        <x:color rgb="FFD5E1E8"/>
      </x:top>
      <x:bottom style="thin">
        <x:color rgb="FFD5E1E8"/>
      </x:bottom>
    </x:border>
    <x:border>
      <x:left style="thin">
        <x:color rgb="FFD5E1E8"/>
      </x:left>
      <x:top style="thin">
        <x:color rgb="FFD5E1E8"/>
      </x:top>
      <x:bottom style="thin">
        <x:color rgb="FFD5E1E8"/>
      </x:bottom>
    </x:border>
    <x:border>
      <x:right style="thin">
        <x:color rgb="FFD5E1E8"/>
      </x:right>
      <x:top style="thin">
        <x:color rgb="FFD5E1E8"/>
      </x:top>
    </x:border>
    <x:border>
      <x:left style="thin">
        <x:color rgb="FFD5E1E8"/>
      </x:left>
      <x:top style="thin">
        <x:color rgb="FFD5E1E8"/>
      </x:top>
    </x:border>
    <x:border>
      <x:bottom style="thin">
        <x:color rgb="FFE3EAF0"/>
      </x:bottom>
    </x:border>
    <x:border>
      <x:top style="thin">
        <x:color rgb="FFE3EAF0"/>
      </x:top>
      <x:bottom style="thin">
        <x:color rgb="FFE3EAF0"/>
      </x:bottom>
    </x:border>
    <x:border>
      <x:top style="thin">
        <x:color rgb="FFE3EAF0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5" fillId="2" borderId="0" xfId="0" applyNumberFormat="1" applyFont="1" applyFill="1" applyBorder="1"/>
    <x:xf numFmtId="0" fontId="8" fillId="6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2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 wrapText="1"/>
    </x:xf>
    <x:xf numFmtId="0" fontId="11" fillId="2" borderId="7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/>
    <x:xf numFmtId="0" fontId="1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9" xfId="0" applyNumberFormat="1" applyFont="1" applyFill="1" applyBorder="1"/>
    <x:xf numFmtId="0" fontId="1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1" fillId="2" borderId="7" xfId="0" applyNumberFormat="1" applyFont="1" applyFill="1" applyBorder="1" applyAlignment="1">
      <x:alignment vertical="center" wrapText="1"/>
    </x:xf>
    <x:xf numFmtId="200" fontId="10" fillId="0" borderId="8" xfId="0" applyNumberFormat="1" applyFont="1" applyFill="1" applyBorder="1"/>
    <x:xf numFmtId="200" fontId="10" fillId="0" borderId="9" xfId="0" applyNumberFormat="1" applyFont="1" applyFill="1" applyBorder="1"/>
    <x:xf numFmtId="0" fontId="10" fillId="0" borderId="8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201" fontId="11" fillId="2" borderId="7" xfId="0" applyNumberFormat="1" applyFont="1" applyFill="1" applyBorder="1" applyAlignment="1">
      <x:alignment vertical="center" wrapText="1"/>
    </x:xf>
    <x:xf numFmtId="201" fontId="10" fillId="0" borderId="8" xfId="0" applyNumberFormat="1" applyFont="1" applyFill="1" applyBorder="1"/>
    <x:xf numFmtId="201" fontId="10" fillId="0" borderId="9" xfId="0" applyNumberFormat="1" applyFont="1" applyFill="1" applyBorder="1"/>
    <x:xf numFmtId="0" fontId="5" fillId="2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E6B35"/>
      </x:font>
      <x:fill>
        <x:patternFill patternType="solid">
          <x:bgColor rgb="FFE6F4EA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4262C"/>
      </x:font>
      <x:fill>
        <x:patternFill patternType="solid">
          <x:bgColor rgb="FFFDE7E9"/>
        </x:patternFill>
      </x:fill>
    </x:dxf>
    <x:dxf>
      <x:font>
        <x:b/>
        <x:color rgb="FF1E6B35"/>
      </x:font>
      <x:fill>
        <x:patternFill patternType="solid">
          <x:bgColor rgb="FFE6F4EA"/>
        </x:patternFill>
      </x:fill>
    </x:dxf>
    <x:dxf>
      <x:font>
        <x:b/>
        <x:color rgb="FFFFFFFF"/>
      </x:font>
      <x:fill>
        <x:patternFill patternType="solid">
          <x:bgColor rgb="FFD13438"/>
        </x:patternFill>
      </x:fill>
    </x:dxf>
    <x:dxf>
      <x:font>
        <x:b/>
        <x:color rgb="FFFFFFFF"/>
      </x:font>
      <x:fill>
        <x:patternFill patternType="solid">
          <x:bgColor rgb="FFFF8C00"/>
        </x:patternFill>
      </x:fill>
    </x:dxf>
    <x:dxf>
      <x:font>
        <x:b/>
        <x:color rgb="FF3D2E00"/>
      </x:font>
      <x:fill>
        <x:patternFill patternType="solid">
          <x:bgColor rgb="FFF2B84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ab60f9c1904032" /><Relationship Type="http://schemas.openxmlformats.org/officeDocument/2006/relationships/theme" Target="/xl/theme/theme1.xml" Id="R514818953a9f4616" /><Relationship Type="http://schemas.microsoft.com/office/2022/11/relationships/FeaturePropertyBag" Target="/xl/featurePropertyBag/featurePropertyBag.xml" Id="Rcccdc8940dda4df7" /><Relationship Type="http://schemas.openxmlformats.org/officeDocument/2006/relationships/sharedStrings" Target="/xl/sharedStrings.xml" Id="Rfdf2a1aa9fb744d4" /><Relationship Type="http://schemas.openxmlformats.org/officeDocument/2006/relationships/worksheet" Target="/xl/worksheets/sheet1.xml" Id="Rbc4a42fe664a428a" /><Relationship Type="http://schemas.openxmlformats.org/officeDocument/2006/relationships/worksheet" Target="/xl/worksheets/sheet2.xml" Id="R23cd05ab0cbb4eb8" /><Relationship Type="http://schemas.openxmlformats.org/officeDocument/2006/relationships/worksheet" Target="/xl/worksheets/sheet3.xml" Id="R3f4549c888c44fb6" /><Relationship Type="http://schemas.openxmlformats.org/officeDocument/2006/relationships/worksheet" Target="/xl/worksheets/sheet4.xml" Id="R4dbaf2731e3d451f" /><Relationship Type="http://schemas.openxmlformats.org/officeDocument/2006/relationships/worksheet" Target="/xl/worksheets/sheet5.xml" Id="Rfd1b270cb3bd4a33" /><Relationship Type="http://schemas.openxmlformats.org/officeDocument/2006/relationships/worksheet" Target="/xl/worksheets/sheet6.xml" Id="R47c6fa6cd2854611" /><Relationship Type="http://schemas.openxmlformats.org/officeDocument/2006/relationships/worksheet" Target="/xl/worksheets/sheet7.xml" Id="R7d830221d2834adf" /><Relationship Type="http://schemas.openxmlformats.org/officeDocument/2006/relationships/worksheet" Target="/xl/worksheets/sheet8.xml" Id="R9b460e33c979418f" /><Relationship Type="http://schemas.openxmlformats.org/officeDocument/2006/relationships/worksheet" Target="/xl/worksheets/sheet9.xml" Id="R9635cd485096456d" /><Relationship Type="http://schemas.openxmlformats.org/officeDocument/2006/relationships/worksheet" Target="/xl/worksheets/sheet10.xml" Id="Rfa87aabe95ef4a7e" /><Relationship Type="http://schemas.openxmlformats.org/officeDocument/2006/relationships/worksheet" Target="/xl/worksheets/sheet11.xml" Id="R2fe94d023f444a9a" /><Relationship Type="http://schemas.openxmlformats.org/officeDocument/2006/relationships/worksheet" Target="/xl/worksheets/sheet12.xml" Id="R8e957c4bbf314ff8" /><Relationship Type="http://schemas.openxmlformats.org/officeDocument/2006/relationships/worksheet" Target="/xl/worksheets/sheet13.xml" Id="R92a845fbf30a4589" /><Relationship Type="http://schemas.openxmlformats.org/officeDocument/2006/relationships/worksheet" Target="/xl/worksheets/sheet14.xml" Id="Ra6b7c4cdcbc34ad3" /><Relationship Type="http://schemas.openxmlformats.org/officeDocument/2006/relationships/worksheet" Target="/xl/worksheets/sheet15.xml" Id="R3adb4a8024a340ec" /><Relationship Type="http://schemas.openxmlformats.org/officeDocument/2006/relationships/worksheet" Target="/xl/worksheets/sheet16.xml" Id="Rc44c84cc36094196" /><Relationship Type="http://schemas.openxmlformats.org/officeDocument/2006/relationships/worksheet" Target="/xl/worksheets/sheet17.xml" Id="R203067390217471c" /><Relationship Type="http://schemas.openxmlformats.org/officeDocument/2006/relationships/worksheet" Target="/xl/worksheets/sheet18.xml" Id="Rbe26a12b820e45d2" /><Relationship Type="http://schemas.openxmlformats.org/officeDocument/2006/relationships/worksheet" Target="/xl/worksheets/sheet19.xml" Id="Rd14fa68d504140fe" /><Relationship Type="http://schemas.openxmlformats.org/officeDocument/2006/relationships/worksheet" Target="/xl/worksheets/sheet20.xml" Id="R0e4323c71ad8414c" /><Relationship Type="http://schemas.openxmlformats.org/officeDocument/2006/relationships/worksheet" Target="/xl/worksheets/sheet21.xml" Id="R822c2ec262544224" /><Relationship Type="http://schemas.openxmlformats.org/officeDocument/2006/relationships/worksheet" Target="/xl/worksheets/sheet22.xml" Id="R6dd2d89f96214b67" /><Relationship Type="http://schemas.microsoft.com/office/2017/10/relationships/person" Target="/xl/persons/person.xml" Id="R0b3f72d88c8c4b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781C2305-C4C8-4909-9A5C-566F249786A4}"/>
</xltc:personList>
</file>

<file path=xl/tables/table1.xml><?xml version="1.0" encoding="utf-8"?>
<x:table xmlns:x="http://schemas.openxmlformats.org/spreadsheetml/2006/main" id="1" name="T01_Hospitals" displayName="T01_Hospitals" ref="A1:L5" headerRowCount="1" totalsRowCount="0" totalsRowShown="0">
  <x:tableColumns count="12">
    <x:tableColumn id="1" name="hospital_id"/>
    <x:tableColumn id="2" name="hospital_name"/>
    <x:tableColumn id="3" name="facility_level"/>
    <x:tableColumn id="4" name="city"/>
    <x:tableColumn id="5" name="hospital_type"/>
    <x:tableColumn id="6" name="icu_available"/>
    <x:tableColumn id="7" name="lab_24x7"/>
    <x:tableColumn id="8" name="imaging_available"/>
    <x:tableColumn id="9" name="outbound_transfer_enabled"/>
    <x:tableColumn id="10" name="operational_config_version"/>
    <x:tableColumn id="11" name="config_code"/>
    <x:tableColumn id="12" name="is_syntheti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2_Wards" displayName="T02_Wards" ref="A1:J21" headerRowCount="1" totalsRowCount="0" totalsRowShown="0">
  <x:tableColumns count="10">
    <x:tableColumn id="1" name="ward_id"/>
    <x:tableColumn id="2" name="hospital_id"/>
    <x:tableColumn id="3" name="ward_name"/>
    <x:tableColumn id="4" name="ward_type"/>
    <x:tableColumn id="5" name="total_beds"/>
    <x:tableColumn id="6" name="occupied_beds"/>
    <x:tableColumn id="7" name="available_beds"/>
    <x:tableColumn id="8" name="contact_extension"/>
    <x:tableColumn id="9" name="equipment_level"/>
    <x:tableColumn id="10" name="is_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3_Staff" displayName="T03_Staff" ref="A1:I41" headerRowCount="1" totalsRowCount="0" totalsRowShown="0">
  <x:tableColumns count="9">
    <x:tableColumn id="1" name="staff_id"/>
    <x:tableColumn id="2" name="hospital_id"/>
    <x:tableColumn id="3" name="full_name"/>
    <x:tableColumn id="4" name="staff_role"/>
    <x:tableColumn id="5" name="specialization"/>
    <x:tableColumn id="6" name="demo_registration_number"/>
    <x:tableColumn id="7" name="default_shift"/>
    <x:tableColumn id="8" name="is_active"/>
    <x:tableColumn id="9" name="is_syntheti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4_StaffWards" displayName="T04_StaffWards" ref="A1:E65" headerRowCount="1" totalsRowCount="0" totalsRowShown="0">
  <x:tableColumns count="5">
    <x:tableColumn id="1" name="staff_ward_assignment_id"/>
    <x:tableColumn id="2" name="staff_id"/>
    <x:tableColumn id="3" name="ward_id"/>
    <x:tableColumn id="4" name="assignment_type"/>
    <x:tableColumn id="5" name="is_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05_Patients" displayName="T05_Patients" ref="A1:Q101" headerRowCount="1" totalsRowCount="0" totalsRowShown="0">
  <x:tableColumns count="17">
    <x:tableColumn id="1" name="patient_id"/>
    <x:tableColumn id="2" name="hospital_id"/>
    <x:tableColumn id="3" name="medical_record_number"/>
    <x:tableColumn id="4" name="full_name"/>
    <x:tableColumn id="5" name="date_of_birth"/>
    <x:tableColumn id="6" name="age_years_at_demo"/>
    <x:tableColumn id="7" name="sex"/>
    <x:tableColumn id="8" name="phone"/>
    <x:tableColumn id="9" name="email"/>
    <x:tableColumn id="10" name="blood_group"/>
    <x:tableColumn id="11" name="allergies"/>
    <x:tableColumn id="12" name="chronic_conditions"/>
    <x:tableColumn id="13" name="current_medications"/>
    <x:tableColumn id="14" name="coverage_scheme_code"/>
    <x:tableColumn id="15" name="dataset_status"/>
    <x:tableColumn id="16" name="available_for_new_encounter"/>
    <x:tableColumn id="17" name="is_syntheti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06_QueueSessions" displayName="T06_QueueSessions" ref="A1:J5" headerRowCount="1" totalsRowCount="0" totalsRowShown="0">
  <x:tableColumns count="10">
    <x:tableColumn id="1" name="queue_session_id"/>
    <x:tableColumn id="2" name="hospital_id"/>
    <x:tableColumn id="3" name="session_code"/>
    <x:tableColumn id="4" name="session_type"/>
    <x:tableColumn id="5" name="status"/>
    <x:tableColumn id="6" name="started_at"/>
    <x:tableColumn id="7" name="load_multiplier"/>
    <x:tableColumn id="8" name="operational_config_snapshot"/>
    <x:tableColumn id="9" name="version"/>
    <x:tableColumn id="10" name="is_synthetic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07_Encounters" displayName="T07_Encounters" ref="A1:R41" headerRowCount="1" totalsRowCount="0" totalsRowShown="0">
  <x:tableColumns count="18">
    <x:tableColumn id="1" name="encounter_id"/>
    <x:tableColumn id="2" name="encounter_code"/>
    <x:tableColumn id="3" name="patient_id"/>
    <x:tableColumn id="4" name="hospital_id"/>
    <x:tableColumn id="5" name="queue_session_id"/>
    <x:tableColumn id="6" name="current_ward_id"/>
    <x:tableColumn id="7" name="arrival_at"/>
    <x:tableColumn id="8" name="arrival_mode"/>
    <x:tableColumn id="9" name="chief_complaint"/>
    <x:tableColumn id="10" name="symptom_onset_text"/>
    <x:tableColumn id="11" name="scenario_category"/>
    <x:tableColumn id="12" name="special_demo_feature"/>
    <x:tableColumn id="13" name="status"/>
    <x:tableColumn id="14" name="recommended_disposition"/>
    <x:tableColumn id="15" name="transfer_review_required"/>
    <x:tableColumn id="16" name="queue_priority_boost"/>
    <x:tableColumn id="17" name="data_quality_notes"/>
    <x:tableColumn id="18" name="is_synthetic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08_DoctorAssign" displayName="T08_DoctorAssign" ref="A1:G41" headerRowCount="1" totalsRowCount="0" totalsRowShown="0">
  <x:tableColumns count="7">
    <x:tableColumn id="1" name="doctor_assignment_id"/>
    <x:tableColumn id="2" name="encounter_id"/>
    <x:tableColumn id="3" name="doctor_staff_id"/>
    <x:tableColumn id="4" name="assigned_at"/>
    <x:tableColumn id="5" name="released_at"/>
    <x:tableColumn id="6" name="assignment_reason"/>
    <x:tableColumn id="7" name="is_activ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09_NurseAssign" displayName="T09_NurseAssign" ref="A1:F41" headerRowCount="1" totalsRowCount="0" totalsRowShown="0">
  <x:tableColumns count="6">
    <x:tableColumn id="1" name="nurse_assignment_id"/>
    <x:tableColumn id="2" name="encounter_id"/>
    <x:tableColumn id="3" name="nurse_staff_id"/>
    <x:tableColumn id="4" name="assigned_at"/>
    <x:tableColumn id="5" name="nursing_role"/>
    <x:tableColumn id="6" name="is_activ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Vitals" displayName="T10_Vitals" ref="A1:P47" headerRowCount="1" totalsRowCount="0" totalsRowShown="0">
  <x:tableColumns count="16">
    <x:tableColumn id="1" name="vital_observation_id"/>
    <x:tableColumn id="2" name="encounter_id"/>
    <x:tableColumn id="3" name="observation_number"/>
    <x:tableColumn id="4" name="observed_at"/>
    <x:tableColumn id="5" name="recorded_by_staff_id"/>
    <x:tableColumn id="6" name="source"/>
    <x:tableColumn id="7" name="heart_rate_bpm"/>
    <x:tableColumn id="8" name="systolic_bp_mmhg"/>
    <x:tableColumn id="9" name="diastolic_bp_mmhg"/>
    <x:tableColumn id="10" name="respiratory_rate_per_min"/>
    <x:tableColumn id="11" name="spo2_percent"/>
    <x:tableColumn id="12" name="temperature_c"/>
    <x:tableColumn id="13" name="gcs_total"/>
    <x:tableColumn id="14" name="pain_score_0_10"/>
    <x:tableColumn id="15" name="quality_notes"/>
    <x:tableColumn id="16" name="is_synthetic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Questions" displayName="T11_Questions" ref="A1:E7" headerRowCount="1" totalsRowCount="0" totalsRowShown="0">
  <x:tableColumns count="5">
    <x:tableColumn id="1" name="question_code"/>
    <x:tableColumn id="2" name="question_category"/>
    <x:tableColumn id="3" name="answer_type"/>
    <x:tableColumn id="4" name="question_text"/>
    <x:tableColumn id="5" name="answer_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_Interviews" displayName="T12_Interviews" ref="A1:J41" headerRowCount="1" totalsRowCount="0" totalsRowShown="0">
  <x:tableColumns count="10">
    <x:tableColumn id="1" name="symptom_interview_id"/>
    <x:tableColumn id="2" name="encounter_id"/>
    <x:tableColumn id="3" name="interview_number"/>
    <x:tableColumn id="4" name="conducted_by_staff_id"/>
    <x:tableColumn id="5" name="respondent_type"/>
    <x:tableColumn id="6" name="language_code"/>
    <x:tableColumn id="7" name="status"/>
    <x:tableColumn id="8" name="started_at"/>
    <x:tableColumn id="9" name="completed_at"/>
    <x:tableColumn id="10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_Responses" displayName="T13_Responses" ref="A1:H241" headerRowCount="1" totalsRowCount="0" totalsRowShown="0">
  <x:tableColumns count="8">
    <x:tableColumn id="1" name="symptom_response_id"/>
    <x:tableColumn id="2" name="symptom_interview_id"/>
    <x:tableColumn id="3" name="question_code"/>
    <x:tableColumn id="4" name="question_text_snapshot"/>
    <x:tableColumn id="5" name="answer_value"/>
    <x:tableColumn id="6" name="answer_source"/>
    <x:tableColumn id="7" name="answered_at"/>
    <x:tableColumn id="8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_Triage" displayName="T14_Triage" ref="A1:N41" headerRowCount="1" totalsRowCount="0" totalsRowShown="0">
  <x:tableColumns count="14">
    <x:tableColumn id="1" name="triage_assessment_id"/>
    <x:tableColumn id="2" name="encounter_id"/>
    <x:tableColumn id="3" name="assessment_version"/>
    <x:tableColumn id="4" name="assessed_at"/>
    <x:tableColumn id="5" name="recommended_esi_level"/>
    <x:tableColumn id="6" name="score_source"/>
    <x:tableColumn id="7" name="clinician_confirmation_status"/>
    <x:tableColumn id="8" name="confirmation_due_at"/>
    <x:tableColumn id="9" name="engine_version"/>
    <x:tableColumn id="10" name="config_version"/>
    <x:tableColumn id="11" name="mandatory_safety_workup"/>
    <x:tableColumn id="12" name="maximum_allowed_esi_level"/>
    <x:tableColumn id="13" name="input_quality"/>
    <x:tableColumn id="14" name="is_synthetic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_Prescriptions" displayName="T15_Prescriptions" ref="A1:I29" headerRowCount="1" totalsRowCount="0" totalsRowShown="0">
  <x:tableColumns count="9">
    <x:tableColumn id="1" name="prescription_id"/>
    <x:tableColumn id="2" name="encounter_id"/>
    <x:tableColumn id="3" name="prescriber_assignment_id"/>
    <x:tableColumn id="4" name="prescription_number"/>
    <x:tableColumn id="5" name="status"/>
    <x:tableColumn id="6" name="diagnosis_summary"/>
    <x:tableColumn id="7" name="general_instructions"/>
    <x:tableColumn id="8" name="issued_at"/>
    <x:tableColumn id="9" name="is_synthetic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_RxItems" displayName="T16_RxItems" ref="A1:M22" headerRowCount="1" totalsRowCount="0" totalsRowShown="0">
  <x:tableColumns count="13">
    <x:tableColumn id="1" name="prescription_item_id"/>
    <x:tableColumn id="2" name="prescription_id"/>
    <x:tableColumn id="3" name="generic_name"/>
    <x:tableColumn id="4" name="dosage_form"/>
    <x:tableColumn id="5" name="strength"/>
    <x:tableColumn id="6" name="dose"/>
    <x:tableColumn id="7" name="route"/>
    <x:tableColumn id="8" name="frequency"/>
    <x:tableColumn id="9" name="duration_value"/>
    <x:tableColumn id="10" name="duration_unit"/>
    <x:tableColumn id="11" name="quantity"/>
    <x:tableColumn id="12" name="instructions"/>
    <x:tableColumn id="13" name="is_demo_only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_Invoices" displayName="T17_Invoices" ref="A1:N41" headerRowCount="1" totalsRowCount="0" totalsRowShown="0">
  <x:tableColumns count="14">
    <x:tableColumn id="1" name="invoice_id"/>
    <x:tableColumn id="2" name="encounter_id"/>
    <x:tableColumn id="3" name="invoice_number"/>
    <x:tableColumn id="4" name="coverage_scheme_code"/>
    <x:tableColumn id="5" name="currency_code"/>
    <x:tableColumn id="6" name="subtotal"/>
    <x:tableColumn id="7" name="discount_total"/>
    <x:tableColumn id="8" name="tax_total"/>
    <x:tableColumn id="9" name="grand_total"/>
    <x:tableColumn id="10" name="amount_paid"/>
    <x:tableColumn id="11" name="balance_due"/>
    <x:tableColumn id="12" name="status"/>
    <x:tableColumn id="13" name="issued_at"/>
    <x:tableColumn id="14" name="is_synthetic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_InvoiceItems" displayName="T18_InvoiceItems" ref="A1:J81" headerRowCount="1" totalsRowCount="0" totalsRowShown="0">
  <x:tableColumns count="10">
    <x:tableColumn id="1" name="invoice_item_id"/>
    <x:tableColumn id="2" name="invoice_id"/>
    <x:tableColumn id="3" name="service_code"/>
    <x:tableColumn id="4" name="category"/>
    <x:tableColumn id="5" name="description"/>
    <x:tableColumn id="6" name="quantity"/>
    <x:tableColumn id="7" name="unit_price"/>
    <x:tableColumn id="8" name="discount_amount"/>
    <x:tableColumn id="9" name="tax_amount"/>
    <x:tableColumn id="10" name="line_total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9_Feedback" displayName="T19_Feedback" ref="A1:K9" headerRowCount="1" totalsRowCount="0" totalsRowShown="0">
  <x:tableColumns count="11">
    <x:tableColumn id="1" name="feedback_id"/>
    <x:tableColumn id="2" name="hospital_id"/>
    <x:tableColumn id="3" name="encounter_id"/>
    <x:tableColumn id="4" name="patient_id"/>
    <x:tableColumn id="5" name="category"/>
    <x:tableColumn id="6" name="rating_1_5"/>
    <x:tableColumn id="7" name="message"/>
    <x:tableColumn id="8" name="contact_permission"/>
    <x:tableColumn id="9" name="status"/>
    <x:tableColumn id="10" name="created_at"/>
    <x:tableColumn id="11" name="is_synthetic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20_LoginAccounts" displayName="T20_LoginAccounts" ref="A1:L18" headerRowCount="1" totalsRowCount="0" totalsRowShown="0">
  <x:tableColumns count="12">
    <x:tableColumn id="1" name="seed_account_key"/>
    <x:tableColumn id="2" name="login_email"/>
    <x:tableColumn id="3" name="display_name"/>
    <x:tableColumn id="4" name="account_type"/>
    <x:tableColumn id="5" name="role_code"/>
    <x:tableColumn id="6" name="hospital_id"/>
    <x:tableColumn id="7" name="staff_id"/>
    <x:tableColumn id="8" name="patient_id"/>
    <x:tableColumn id="9" name="preferred_language"/>
    <x:tableColumn id="10" name="provisioning_status"/>
    <x:tableColumn id="11" name="password_storage"/>
    <x:tableColumn id="12" name="is_synthetic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99_Codebook" displayName="T99_Codebook" ref="A1:C22" headerRowCount="1" totalsRowCount="0" totalsRowShown="0">
  <x:tableColumns count="3">
    <x:tableColumn id="1" name="Sheet"/>
    <x:tableColumn id="2" name="Purpose"/>
    <x:tableColumn id="3" name="Relationship / 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" dT="2026-09-01T21:56:50.27" personId="{781C2305-C4C8-4909-9A5C-566F249786A4}" id="{DAB3F50C-95E1-4952-AC98-24EF9B527BFB}">
    <xltc:text>All records are synthetic. Clinical fields exist only to exercise prototype workflows and must not be used for diagnosis, triage, or treatment.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ff84691309c4158" /><Relationship Type="http://schemas.openxmlformats.org/officeDocument/2006/relationships/vmlDrawing" Target="/xl/drawings/vmldrawing.vml" Id="R43ca6df8e6bc4bb9" /><Relationship Type="http://schemas.microsoft.com/office/2017/10/relationships/threadedComment" Target="/xl/threadedcomments/threadedcomment.xml" Id="Rc72ca2731e4547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df25bd9723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c86f10a3dc47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b12deaa99240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b1d7189150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df4564e42241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6c2dacb4984d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0da2f2b3d940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0158a84a314b4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8ede228eea645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ce97458c8a14df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21d9ec3ffdf4b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f830232a19e47a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7dbe6a4b9ee40a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55db311b2664c4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287b7fa88e645c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acd7945491e469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2ea98023541a403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ab579641cf454e8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9ef2ae373ad4439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30d0ede6634c41d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b4bb4f765f5049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37999725341797" hidden="0" customWidth="1"/>
    <x:col min="2" max="2" width="18" hidden="0" customWidth="1"/>
    <x:col min="3" max="3" width="6.130000114440918" hidden="0" customWidth="1"/>
    <x:col min="4" max="4" width="7" hidden="0" customWidth="1"/>
    <x:col min="5" max="5" width="18" hidden="0" customWidth="1"/>
    <x:col min="7" max="7" width="18" hidden="0" customWidth="1"/>
    <x:col min="8" max="8" width="18" hidden="0" customWidth="1"/>
    <x:col min="6" max="6" width="18" hidden="0" customWidth="1"/>
  </x:cols>
  <x:sheetData>
    <x:row r="1" ht="22" customHeight="1">
      <x:c r="A1" s="33" t="str">
        <x:v>ResiliCare Prototype Dataset v1</x:v>
      </x:c>
      <x:c r="B1" s="33"/>
      <x:c r="C1" s="33"/>
      <x:c r="D1" s="33"/>
      <x:c r="E1" s="33"/>
      <x:c r="F1" s="33"/>
      <x:c r="G1" s="33"/>
      <x:c r="H1" s="33"/>
    </x:row>
    <x:row r="2" ht="22" customHeight="1">
      <x:c r="A2" s="33"/>
      <x:c r="B2" s="33"/>
      <x:c r="C2" s="33"/>
      <x:c r="D2" s="33"/>
      <x:c r="E2" s="33"/>
      <x:c r="F2" s="33"/>
      <x:c r="G2" s="33"/>
      <x:c r="H2" s="33"/>
    </x:row>
    <x:row r="3" ht="22" customHeight="1">
      <x:c r="A3" s="34"/>
      <x:c r="B3" s="34"/>
      <x:c r="C3" s="34"/>
      <x:c r="D3" s="34"/>
      <x:c r="E3" s="34"/>
      <x:c r="F3" s="34"/>
      <x:c r="G3" s="34"/>
      <x:c r="H3" s="34"/>
    </x:row>
    <x:row r="4" ht="38" customHeight="1">
      <x:c r="A4" s="35" t="str">
        <x:v>Synthetic demo data only — not clinical guidance, not real patient data, and not suitable for care decisions.</x:v>
      </x:c>
      <x:c r="B4" s="35"/>
      <x:c r="C4" s="35"/>
      <x:c r="D4" s="35"/>
      <x:c r="E4" s="35"/>
      <x:c r="F4" s="35"/>
      <x:c r="G4" s="35"/>
      <x:c r="H4" s="35"/>
    </x:row>
    <x:row r="5" ht="22" customHeight="1">
      <x:c r="A5" s="34"/>
      <x:c r="B5" s="34"/>
      <x:c r="C5" s="34"/>
      <x:c r="D5" s="34"/>
      <x:c r="E5" s="34"/>
      <x:c r="F5" s="34"/>
      <x:c r="G5" s="34"/>
      <x:c r="H5" s="34"/>
    </x:row>
    <x:row r="6" ht="22" customHeight="1">
      <x:c r="A6" s="36" t="str">
        <x:v>Metric</x:v>
      </x:c>
      <x:c r="B6" s="37" t="str">
        <x:v>Count</x:v>
      </x:c>
      <x:c r="C6" s="34"/>
      <x:c r="D6" s="38" t="str">
        <x:v>Prototype rules</x:v>
      </x:c>
      <x:c r="E6" s="38"/>
      <x:c r="F6" s="38"/>
      <x:c r="G6" s="38"/>
      <x:c r="H6" s="38"/>
    </x:row>
    <x:row r="7" ht="38" customHeight="1">
      <x:c r="A7" s="39" t="str">
        <x:v>Hospitals</x:v>
      </x:c>
      <x:c r="B7" s="40" t="n">
        <x:f>COUNTA('Hospitals'!A2:A5)</x:f>
        <x:v>4</x:v>
      </x:c>
      <x:c r="C7" s="34"/>
      <x:c r="D7" s="45" t="str">
        <x:v>1</x:v>
      </x:c>
      <x:c r="E7" s="41" t="str">
        <x:v>100 patients total: exactly 25 per hospital.</x:v>
      </x:c>
      <x:c r="F7" s="41"/>
      <x:c r="G7" s="41"/>
      <x:c r="H7" s="41"/>
    </x:row>
    <x:row r="8" ht="38" customHeight="1">
      <x:c r="A8" s="39" t="str">
        <x:v>Wards</x:v>
      </x:c>
      <x:c r="B8" s="40" t="n">
        <x:f>COUNTA('Wards'!A2:A21)</x:f>
        <x:v>20</x:v>
      </x:c>
      <x:c r="C8" s="34"/>
      <x:c r="D8" s="45" t="str">
        <x:v>2</x:v>
      </x:c>
      <x:c r="E8" s="41" t="str">
        <x:v>40 LIVE patients: exactly 10 per hospital, each linked to one active encounter.</x:v>
      </x:c>
      <x:c r="F8" s="41"/>
      <x:c r="G8" s="41"/>
      <x:c r="H8" s="41"/>
    </x:row>
    <x:row r="9" ht="38" customHeight="1">
      <x:c r="A9" s="39" t="str">
        <x:v>Staff</x:v>
      </x:c>
      <x:c r="B9" s="40" t="n">
        <x:f>COUNTA('Staff'!A2:A41)</x:f>
        <x:v>40</x:v>
      </x:c>
      <x:c r="C9" s="34"/>
      <x:c r="D9" s="45" t="str">
        <x:v>3</x:v>
      </x:c>
      <x:c r="E9" s="41" t="str">
        <x:v>60 RESERVE patients: exactly 15 per hospital and deliberately not linked to encounters.</x:v>
      </x:c>
      <x:c r="F9" s="41"/>
      <x:c r="G9" s="41"/>
      <x:c r="H9" s="41"/>
    </x:row>
    <x:row r="10" ht="38" customHeight="1">
      <x:c r="A10" s="39" t="str">
        <x:v>Patients</x:v>
      </x:c>
      <x:c r="B10" s="40" t="n">
        <x:f>COUNTA('Patients'!A2:A101)</x:f>
        <x:v>100</x:v>
      </x:c>
      <x:c r="C10" s="34"/>
      <x:c r="D10" s="45" t="str">
        <x:v>4</x:v>
      </x:c>
      <x:c r="E10" s="41" t="str">
        <x:v>Reserve profiles become new entries only when the application creates a future encounter.</x:v>
      </x:c>
      <x:c r="F10" s="41"/>
      <x:c r="G10" s="41"/>
      <x:c r="H10" s="41"/>
    </x:row>
    <x:row r="11" ht="38" customHeight="1">
      <x:c r="A11" s="39" t="str">
        <x:v>Live encounters</x:v>
      </x:c>
      <x:c r="B11" s="40" t="n">
        <x:f>COUNTA('Encounters'!A2:A41)</x:f>
        <x:v>40</x:v>
      </x:c>
      <x:c r="C11" s="34"/>
      <x:c r="D11" s="45" t="str">
        <x:v>5</x:v>
      </x:c>
      <x:c r="E11" s="41" t="str">
        <x:v>Placeholder medication items are not prescribing recommendations.</x:v>
      </x:c>
      <x:c r="F11" s="41"/>
      <x:c r="G11" s="41"/>
      <x:c r="H11" s="41"/>
    </x:row>
    <x:row r="12" ht="38" customHeight="1">
      <x:c r="A12" s="39" t="str">
        <x:v>Reserve patients</x:v>
      </x:c>
      <x:c r="B12" s="40" t="n">
        <x:f>COUNTIF('Patients'!O2:O101,"RESERVE")</x:f>
        <x:v>60</x:v>
      </x:c>
      <x:c r="C12" s="34"/>
      <x:c r="D12" s="45" t="str">
        <x:v>6</x:v>
      </x:c>
      <x:c r="E12" s="41" t="str">
        <x:v>All names, contacts, identifiers, observations and feedback are synthetic.</x:v>
      </x:c>
      <x:c r="F12" s="41"/>
      <x:c r="G12" s="41"/>
      <x:c r="H12" s="41"/>
    </x:row>
    <x:row r="13" ht="38" customHeight="1">
      <x:c r="A13" s="39" t="str">
        <x:v>Clinical feedback</x:v>
      </x:c>
      <x:c r="B13" s="40" t="n">
        <x:f>COUNTA('Feedback'!A2:A9)</x:f>
        <x:v>8</x:v>
      </x:c>
      <x:c r="C13" s="34"/>
      <x:c r="D13" s="45" t="str">
        <x:v>7</x:v>
      </x:c>
      <x:c r="E13" s="41" t="str">
        <x:v>Scenario timestamp: 2026-09-02, Asia/Calcutta.</x:v>
      </x:c>
      <x:c r="F13" s="41"/>
      <x:c r="G13" s="41"/>
      <x:c r="H13" s="41"/>
    </x:row>
    <x:row r="14" ht="38" customHeight="1">
      <x:c r="A14" s="42" t="str">
        <x:v>Login accounts</x:v>
      </x:c>
      <x:c r="B14" s="43" t="n">
        <x:f>COUNTA('Login_Accounts'!A2:A18)</x:f>
        <x:v>17</x:v>
      </x:c>
      <x:c r="C14" s="34"/>
      <x:c r="D14" s="45" t="str">
        <x:v>8</x:v>
      </x:c>
      <x:c r="E14" s="41" t="str">
        <x:v>Login manifest stores roles and entity mappings only; passwords and Supabase UUIDs are intentionally absent.</x:v>
      </x:c>
      <x:c r="F14" s="41"/>
      <x:c r="G14" s="41"/>
      <x:c r="H14" s="41"/>
    </x:row>
    <x:row r="15" ht="22" customHeight="1">
      <x:c r="A15" s="34"/>
      <x:c r="B15" s="34"/>
      <x:c r="C15" s="34"/>
      <x:c r="D15" s="34"/>
      <x:c r="E15" s="34"/>
      <x:c r="F15" s="34"/>
      <x:c r="G15" s="34"/>
      <x:c r="H15" s="34"/>
    </x:row>
    <x:row r="16" ht="22" customHeight="1">
      <x:c r="A16" s="20" t="str">
        <x:v>Hospital allocation checks</x:v>
      </x:c>
      <x:c r="B16" s="20"/>
      <x:c r="C16" s="20"/>
      <x:c r="D16" s="20"/>
      <x:c r="E16" s="20"/>
      <x:c r="F16" s="20"/>
      <x:c r="G16" s="20"/>
      <x:c r="H16" s="20"/>
    </x:row>
    <x:row r="17" ht="22" customHeight="1">
      <x:c r="A17" s="38" t="str">
        <x:v>Hospital ID</x:v>
      </x:c>
      <x:c r="B17" s="38" t="str">
        <x:v>Hospital</x:v>
      </x:c>
      <x:c r="C17" s="38" t="str">
        <x:v>Patients</x:v>
      </x:c>
      <x:c r="D17" s="38" t="str">
        <x:v>Live</x:v>
      </x:c>
      <x:c r="E17" s="38" t="str">
        <x:v>Reserve</x:v>
      </x:c>
      <x:c r="F17" s="34"/>
      <x:c r="G17" s="38" t="str">
        <x:v>Validation</x:v>
      </x:c>
      <x:c r="H17" s="38" t="str">
        <x:v>Result</x:v>
      </x:c>
    </x:row>
    <x:row r="18" ht="22" customHeight="1">
      <x:c r="A18" s="34" t="str">
        <x:v>HSP-001</x:v>
      </x:c>
      <x:c r="B18" s="34" t="str">
        <x:v>ResiliCare Central Hospital</x:v>
      </x:c>
      <x:c r="C18" s="34" t="n">
        <x:f>COUNTIF('Patients'!B2:B101,A18)</x:f>
        <x:v>25</x:v>
      </x:c>
      <x:c r="D18" s="34" t="n">
        <x:f>COUNTIFS('Patients'!B2:B101,A18,'Patients'!O2:O101,"LIVE")</x:f>
        <x:v>10</x:v>
      </x:c>
      <x:c r="E18" s="34" t="n">
        <x:f>COUNTIFS('Patients'!B2:B101,A18,'Patients'!O2:O101,"RESERVE")</x:f>
        <x:v>15</x:v>
      </x:c>
      <x:c r="F18" s="34"/>
      <x:c r="G18" s="34" t="str">
        <x:v>Patients = 100</x:v>
      </x:c>
      <x:c r="H18" s="34" t="str">
        <x:f>IF(C22=100,"PASS","CHECK")</x:f>
        <x:v>PASS</x:v>
      </x:c>
    </x:row>
    <x:row r="19" ht="22" customHeight="1">
      <x:c r="A19" s="34" t="str">
        <x:v>HSP-002</x:v>
      </x:c>
      <x:c r="B19" s="34" t="str">
        <x:v>ResiliCare Metro Hospital</x:v>
      </x:c>
      <x:c r="C19" s="34" t="n">
        <x:f>COUNTIF('Patients'!B2:B101,A19)</x:f>
        <x:v>25</x:v>
      </x:c>
      <x:c r="D19" s="34" t="n">
        <x:f>COUNTIFS('Patients'!B2:B101,A19,'Patients'!O2:O101,"LIVE")</x:f>
        <x:v>10</x:v>
      </x:c>
      <x:c r="E19" s="34" t="n">
        <x:f>COUNTIFS('Patients'!B2:B101,A19,'Patients'!O2:O101,"RESERVE")</x:f>
        <x:v>15</x:v>
      </x:c>
      <x:c r="F19" s="34"/>
      <x:c r="G19" s="34" t="str">
        <x:v>Live = 40</x:v>
      </x:c>
      <x:c r="H19" s="34" t="str">
        <x:f>IF(D22=40,"PASS","CHECK")</x:f>
        <x:v>PASS</x:v>
      </x:c>
    </x:row>
    <x:row r="20" ht="22" customHeight="1">
      <x:c r="A20" s="34" t="str">
        <x:v>HSP-003</x:v>
      </x:c>
      <x:c r="B20" s="34" t="str">
        <x:v>ResiliCare District Hospital</x:v>
      </x:c>
      <x:c r="C20" s="34" t="n">
        <x:f>COUNTIF('Patients'!B2:B101,A20)</x:f>
        <x:v>25</x:v>
      </x:c>
      <x:c r="D20" s="34" t="n">
        <x:f>COUNTIFS('Patients'!B2:B101,A20,'Patients'!O2:O101,"LIVE")</x:f>
        <x:v>10</x:v>
      </x:c>
      <x:c r="E20" s="34" t="n">
        <x:f>COUNTIFS('Patients'!B2:B101,A20,'Patients'!O2:O101,"RESERVE")</x:f>
        <x:v>15</x:v>
      </x:c>
      <x:c r="F20" s="34"/>
      <x:c r="G20" s="34" t="str">
        <x:v>Reserve = 60</x:v>
      </x:c>
      <x:c r="H20" s="34" t="str">
        <x:f>IF(E22=60,"PASS","CHECK")</x:f>
        <x:v>PASS</x:v>
      </x:c>
    </x:row>
    <x:row r="21" ht="22" customHeight="1">
      <x:c r="A21" s="34" t="str">
        <x:v>HSP-004</x:v>
      </x:c>
      <x:c r="B21" s="34" t="str">
        <x:v>ResiliCare Rural Hospital</x:v>
      </x:c>
      <x:c r="C21" s="34" t="n">
        <x:f>COUNTIF('Patients'!B2:B101,A21)</x:f>
        <x:v>25</x:v>
      </x:c>
      <x:c r="D21" s="34" t="n">
        <x:f>COUNTIFS('Patients'!B2:B101,A21,'Patients'!O2:O101,"LIVE")</x:f>
        <x:v>10</x:v>
      </x:c>
      <x:c r="E21" s="34" t="n">
        <x:f>COUNTIFS('Patients'!B2:B101,A21,'Patients'!O2:O101,"RESERVE")</x:f>
        <x:v>15</x:v>
      </x:c>
      <x:c r="F21" s="34"/>
      <x:c r="G21" s="34" t="str">
        <x:v>Live + Reserve = Total</x:v>
      </x:c>
      <x:c r="H21" s="34" t="str">
        <x:f>IF(D22+E22=C22,"PASS","CHECK")</x:f>
        <x:v>PASS</x:v>
      </x:c>
    </x:row>
    <x:row r="22" ht="22" customHeight="1">
      <x:c r="A22" s="44" t="str">
        <x:v>TOTAL</x:v>
      </x:c>
      <x:c r="B22" s="44" t="str"/>
      <x:c r="C22" s="44" t="n">
        <x:f>SUM(C18:C21)</x:f>
        <x:v>100</x:v>
      </x:c>
      <x:c r="D22" s="44" t="n">
        <x:f>SUM(D18:D21)</x:f>
        <x:v>40</x:v>
      </x:c>
      <x:c r="E22" s="44" t="n">
        <x:f>SUM(E18:E21)</x:f>
        <x:v>60</x:v>
      </x:c>
      <x:c r="F22" s="34"/>
      <x:c r="G22" s="34"/>
      <x:c r="H22" s="34"/>
    </x:row>
  </x:sheetData>
  <x:mergeCells>
    <x:mergeCell ref="A1:H2"/>
    <x:mergeCell ref="A4:H4"/>
    <x:mergeCell ref="D6:H6"/>
    <x:mergeCell ref="E7:H7"/>
    <x:mergeCell ref="E8:H8"/>
    <x:mergeCell ref="E9:H9"/>
    <x:mergeCell ref="E10:H10"/>
    <x:mergeCell ref="E11:H11"/>
    <x:mergeCell ref="E12:H12"/>
    <x:mergeCell ref="E13:H13"/>
    <x:mergeCell ref="E14:H14"/>
    <x:mergeCell ref="A16:H16"/>
  </x:mergeCells>
  <x:conditionalFormatting sqref="H18:H21">
    <x:cfRule type="containsText" dxfId="0" priority="1" operator="containsText" text="PASS"/>
    <x:cfRule type="containsText" dxfId="1" priority="2" operator="containsText" text="CHECK"/>
  </x:conditionalFormatting>
  <x:pageMargins left="0.7" right="0.7" top="0.75" bottom="0.75" header="0.3" footer="0.3"/>
  <x:legacyDrawing xmlns:r="http://schemas.openxmlformats.org/officeDocument/2006/relationships" r:id="R43ca6df8e6bc4bb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20" hidden="0" customWidth="1"/>
    <x:col min="10" max="10" width="21" hidden="0" customWidth="1"/>
    <x:col min="11" max="11" width="20" hidden="0" customWidth="1"/>
    <x:col min="12" max="12" width="18" hidden="0" customWidth="1"/>
  </x:cols>
  <x:sheetData>
    <x:row r="1" ht="34" customHeight="1">
      <x:c r="A1" s="53" t="str">
        <x:v>hospital_id</x:v>
      </x:c>
      <x:c r="B1" s="53" t="str">
        <x:v>hospital_name</x:v>
      </x:c>
      <x:c r="C1" s="53" t="str">
        <x:v>facility_level</x:v>
      </x:c>
      <x:c r="D1" s="53" t="str">
        <x:v>city</x:v>
      </x:c>
      <x:c r="E1" s="53" t="str">
        <x:v>hospital_type</x:v>
      </x:c>
      <x:c r="F1" s="53" t="str">
        <x:v>icu_available</x:v>
      </x:c>
      <x:c r="G1" s="53" t="str">
        <x:v>lab_24x7</x:v>
      </x:c>
      <x:c r="H1" s="53" t="str">
        <x:v>imaging_available</x:v>
      </x:c>
      <x:c r="I1" s="53" t="str">
        <x:v>outbound_transfer_enabled</x:v>
      </x:c>
      <x:c r="J1" s="53" t="str">
        <x:v>operational_config_version</x:v>
      </x:c>
      <x:c r="K1" s="53" t="str">
        <x:v>config_code</x:v>
      </x:c>
      <x:c r="L1" s="53" t="str">
        <x:v>is_synthetic</x:v>
      </x:c>
    </x:row>
    <x:row r="2" ht="28" customHeight="1">
      <x:c r="A2" s="54" t="str">
        <x:v>HSP-001</x:v>
      </x:c>
      <x:c r="B2" s="54" t="str">
        <x:v>ResiliCare Central Hospital</x:v>
      </x:c>
      <x:c r="C2" s="54" t="str">
        <x:v>WELL_EQUIPPED</x:v>
      </x:c>
      <x:c r="D2" s="54" t="str">
        <x:v>Mumbai</x:v>
      </x:c>
      <x:c r="E2" s="54" t="str">
        <x:v>Tertiary</x:v>
      </x:c>
      <x:c r="F2" s="55" t="b">
        <x:v>1</x:v>
      </x:c>
      <x:c r="G2" s="55" t="b">
        <x:v>1</x:v>
      </x:c>
      <x:c r="H2" s="55" t="b">
        <x:v>1</x:v>
      </x:c>
      <x:c r="I2" s="55" t="b">
        <x:v>1</x:v>
      </x:c>
      <x:c r="J2" s="54" t="n">
        <x:v>1</x:v>
      </x:c>
      <x:c r="K2" s="54" t="str">
        <x:v>hospital-config-1</x:v>
      </x:c>
      <x:c r="L2" s="55" t="b">
        <x:v>1</x:v>
      </x:c>
    </x:row>
    <x:row r="3" ht="28" customHeight="1">
      <x:c r="A3" s="54" t="str">
        <x:v>HSP-002</x:v>
      </x:c>
      <x:c r="B3" s="54" t="str">
        <x:v>ResiliCare Metro Hospital</x:v>
      </x:c>
      <x:c r="C3" s="54" t="str">
        <x:v>WELL_EQUIPPED</x:v>
      </x:c>
      <x:c r="D3" s="54" t="str">
        <x:v>Bengaluru</x:v>
      </x:c>
      <x:c r="E3" s="54" t="str">
        <x:v>Multispecialty</x:v>
      </x:c>
      <x:c r="F3" s="55" t="b">
        <x:v>1</x:v>
      </x:c>
      <x:c r="G3" s="55" t="b">
        <x:v>1</x:v>
      </x:c>
      <x:c r="H3" s="55" t="b">
        <x:v>1</x:v>
      </x:c>
      <x:c r="I3" s="55" t="b">
        <x:v>1</x:v>
      </x:c>
      <x:c r="J3" s="54" t="n">
        <x:v>1</x:v>
      </x:c>
      <x:c r="K3" s="54" t="str">
        <x:v>hospital-config-1</x:v>
      </x:c>
      <x:c r="L3" s="55" t="b">
        <x:v>1</x:v>
      </x:c>
    </x:row>
    <x:row r="4" ht="28" customHeight="1">
      <x:c r="A4" s="54" t="str">
        <x:v>HSP-003</x:v>
      </x:c>
      <x:c r="B4" s="54" t="str">
        <x:v>ResiliCare District Hospital</x:v>
      </x:c>
      <x:c r="C4" s="54" t="str">
        <x:v>RESOURCE_CONSTRAINED</x:v>
      </x:c>
      <x:c r="D4" s="54" t="str">
        <x:v>Indore</x:v>
      </x:c>
      <x:c r="E4" s="54" t="str">
        <x:v>District</x:v>
      </x:c>
      <x:c r="F4" s="55" t="b">
        <x:v>0</x:v>
      </x:c>
      <x:c r="G4" s="55" t="b">
        <x:v>1</x:v>
      </x:c>
      <x:c r="H4" s="55" t="b">
        <x:v>1</x:v>
      </x:c>
      <x:c r="I4" s="55" t="b">
        <x:v>1</x:v>
      </x:c>
      <x:c r="J4" s="54" t="n">
        <x:v>1</x:v>
      </x:c>
      <x:c r="K4" s="54" t="str">
        <x:v>hospital-config-1</x:v>
      </x:c>
      <x:c r="L4" s="55" t="b">
        <x:v>1</x:v>
      </x:c>
    </x:row>
    <x:row r="5" ht="28" customHeight="1">
      <x:c r="A5" s="56" t="str">
        <x:v>HSP-004</x:v>
      </x:c>
      <x:c r="B5" s="56" t="str">
        <x:v>ResiliCare Rural Hospital</x:v>
      </x:c>
      <x:c r="C5" s="56" t="str">
        <x:v>RESOURCE_CONSTRAINED</x:v>
      </x:c>
      <x:c r="D5" s="56" t="str">
        <x:v>Nashik Rural</x:v>
      </x:c>
      <x:c r="E5" s="56" t="str">
        <x:v>Rural</x:v>
      </x:c>
      <x:c r="F5" s="57" t="b">
        <x:v>0</x:v>
      </x:c>
      <x:c r="G5" s="57" t="b">
        <x:v>0</x:v>
      </x:c>
      <x:c r="H5" s="57" t="b">
        <x:v>0</x:v>
      </x:c>
      <x:c r="I5" s="57" t="b">
        <x:v>1</x:v>
      </x:c>
      <x:c r="J5" s="56" t="n">
        <x:v>1</x:v>
      </x:c>
      <x:c r="K5" s="56" t="str">
        <x:v>hospital-config-1</x:v>
      </x:c>
      <x:c r="L5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cdf25bd972340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8" hidden="0" customWidth="1"/>
  </x:cols>
  <x:sheetData>
    <x:row r="1" ht="34" customHeight="1">
      <x:c r="A1" s="53" t="str">
        <x:v>ward_id</x:v>
      </x:c>
      <x:c r="B1" s="53" t="str">
        <x:v>hospital_id</x:v>
      </x:c>
      <x:c r="C1" s="53" t="str">
        <x:v>ward_name</x:v>
      </x:c>
      <x:c r="D1" s="53" t="str">
        <x:v>ward_type</x:v>
      </x:c>
      <x:c r="E1" s="53" t="str">
        <x:v>total_beds</x:v>
      </x:c>
      <x:c r="F1" s="53" t="str">
        <x:v>occupied_beds</x:v>
      </x:c>
      <x:c r="G1" s="53" t="str">
        <x:v>available_beds</x:v>
      </x:c>
      <x:c r="H1" s="53" t="str">
        <x:v>contact_extension</x:v>
      </x:c>
      <x:c r="I1" s="53" t="str">
        <x:v>equipment_level</x:v>
      </x:c>
      <x:c r="J1" s="53" t="str">
        <x:v>is_active</x:v>
      </x:c>
    </x:row>
    <x:row r="2" ht="28" customHeight="1">
      <x:c r="A2" s="54" t="str">
        <x:v>HSP-001-W01</x:v>
      </x:c>
      <x:c r="B2" s="54" t="str">
        <x:v>HSP-001</x:v>
      </x:c>
      <x:c r="C2" s="54" t="str">
        <x:v>Emergency and Triage</x:v>
      </x:c>
      <x:c r="D2" s="54" t="str">
        <x:v>COMMON</x:v>
      </x:c>
      <x:c r="E2" s="54" t="n">
        <x:v>10</x:v>
      </x:c>
      <x:c r="F2" s="54" t="n">
        <x:v>6</x:v>
      </x:c>
      <x:c r="G2" s="54" t="n">
        <x:v>4</x:v>
      </x:c>
      <x:c r="H2" s="54" t="str">
        <x:v>101</x:v>
      </x:c>
      <x:c r="I2" s="54" t="str">
        <x:v>FULL</x:v>
      </x:c>
      <x:c r="J2" s="55" t="b">
        <x:v>1</x:v>
      </x:c>
    </x:row>
    <x:row r="3" ht="28" customHeight="1">
      <x:c r="A3" s="54" t="str">
        <x:v>HSP-001-W02</x:v>
      </x:c>
      <x:c r="B3" s="54" t="str">
        <x:v>HSP-001</x:v>
      </x:c>
      <x:c r="C3" s="54" t="str">
        <x:v>General Medicine</x:v>
      </x:c>
      <x:c r="D3" s="54" t="str">
        <x:v>COMMON</x:v>
      </x:c>
      <x:c r="E3" s="54" t="n">
        <x:v>18</x:v>
      </x:c>
      <x:c r="F3" s="54" t="n">
        <x:v>12</x:v>
      </x:c>
      <x:c r="G3" s="54" t="n">
        <x:v>6</x:v>
      </x:c>
      <x:c r="H3" s="54" t="str">
        <x:v>201</x:v>
      </x:c>
      <x:c r="I3" s="54" t="str">
        <x:v>FULL</x:v>
      </x:c>
      <x:c r="J3" s="55" t="b">
        <x:v>1</x:v>
      </x:c>
    </x:row>
    <x:row r="4" ht="28" customHeight="1">
      <x:c r="A4" s="54" t="str">
        <x:v>HSP-001-W03</x:v>
      </x:c>
      <x:c r="B4" s="54" t="str">
        <x:v>HSP-001</x:v>
      </x:c>
      <x:c r="C4" s="54" t="str">
        <x:v>General Surgery</x:v>
      </x:c>
      <x:c r="D4" s="54" t="str">
        <x:v>COMMON</x:v>
      </x:c>
      <x:c r="E4" s="54" t="n">
        <x:v>14</x:v>
      </x:c>
      <x:c r="F4" s="54" t="n">
        <x:v>8</x:v>
      </x:c>
      <x:c r="G4" s="54" t="n">
        <x:v>6</x:v>
      </x:c>
      <x:c r="H4" s="54" t="str">
        <x:v>301</x:v>
      </x:c>
      <x:c r="I4" s="54" t="str">
        <x:v>FULL</x:v>
      </x:c>
      <x:c r="J4" s="55" t="b">
        <x:v>1</x:v>
      </x:c>
    </x:row>
    <x:row r="5" ht="28" customHeight="1">
      <x:c r="A5" s="54" t="str">
        <x:v>HSP-001-W04</x:v>
      </x:c>
      <x:c r="B5" s="54" t="str">
        <x:v>HSP-001</x:v>
      </x:c>
      <x:c r="C5" s="54" t="str">
        <x:v>Cardiology</x:v>
      </x:c>
      <x:c r="D5" s="54" t="str">
        <x:v>SPECIALITY</x:v>
      </x:c>
      <x:c r="E5" s="54" t="n">
        <x:v>12</x:v>
      </x:c>
      <x:c r="F5" s="54" t="n">
        <x:v>7</x:v>
      </x:c>
      <x:c r="G5" s="54" t="n">
        <x:v>5</x:v>
      </x:c>
      <x:c r="H5" s="54" t="str">
        <x:v>401</x:v>
      </x:c>
      <x:c r="I5" s="54" t="str">
        <x:v>FULL</x:v>
      </x:c>
      <x:c r="J5" s="55" t="b">
        <x:v>1</x:v>
      </x:c>
    </x:row>
    <x:row r="6" ht="28" customHeight="1">
      <x:c r="A6" s="54" t="str">
        <x:v>HSP-001-W05</x:v>
      </x:c>
      <x:c r="B6" s="54" t="str">
        <x:v>HSP-001</x:v>
      </x:c>
      <x:c r="C6" s="54" t="str">
        <x:v>Intensive Care Unit</x:v>
      </x:c>
      <x:c r="D6" s="54" t="str">
        <x:v>SPECIALITY</x:v>
      </x:c>
      <x:c r="E6" s="54" t="n">
        <x:v>10</x:v>
      </x:c>
      <x:c r="F6" s="54" t="n">
        <x:v>4</x:v>
      </x:c>
      <x:c r="G6" s="54" t="n">
        <x:v>6</x:v>
      </x:c>
      <x:c r="H6" s="54" t="str">
        <x:v>501</x:v>
      </x:c>
      <x:c r="I6" s="54" t="str">
        <x:v>FULL</x:v>
      </x:c>
      <x:c r="J6" s="55" t="b">
        <x:v>1</x:v>
      </x:c>
    </x:row>
    <x:row r="7" ht="28" customHeight="1">
      <x:c r="A7" s="54" t="str">
        <x:v>HSP-002-W01</x:v>
      </x:c>
      <x:c r="B7" s="54" t="str">
        <x:v>HSP-002</x:v>
      </x:c>
      <x:c r="C7" s="54" t="str">
        <x:v>Emergency and Triage</x:v>
      </x:c>
      <x:c r="D7" s="54" t="str">
        <x:v>COMMON</x:v>
      </x:c>
      <x:c r="E7" s="54" t="n">
        <x:v>10</x:v>
      </x:c>
      <x:c r="F7" s="54" t="n">
        <x:v>6</x:v>
      </x:c>
      <x:c r="G7" s="54" t="n">
        <x:v>4</x:v>
      </x:c>
      <x:c r="H7" s="54" t="str">
        <x:v>102</x:v>
      </x:c>
      <x:c r="I7" s="54" t="str">
        <x:v>FULL</x:v>
      </x:c>
      <x:c r="J7" s="55" t="b">
        <x:v>1</x:v>
      </x:c>
    </x:row>
    <x:row r="8" ht="28" customHeight="1">
      <x:c r="A8" s="54" t="str">
        <x:v>HSP-002-W02</x:v>
      </x:c>
      <x:c r="B8" s="54" t="str">
        <x:v>HSP-002</x:v>
      </x:c>
      <x:c r="C8" s="54" t="str">
        <x:v>General Medicine</x:v>
      </x:c>
      <x:c r="D8" s="54" t="str">
        <x:v>COMMON</x:v>
      </x:c>
      <x:c r="E8" s="54" t="n">
        <x:v>18</x:v>
      </x:c>
      <x:c r="F8" s="54" t="n">
        <x:v>12</x:v>
      </x:c>
      <x:c r="G8" s="54" t="n">
        <x:v>6</x:v>
      </x:c>
      <x:c r="H8" s="54" t="str">
        <x:v>202</x:v>
      </x:c>
      <x:c r="I8" s="54" t="str">
        <x:v>FULL</x:v>
      </x:c>
      <x:c r="J8" s="55" t="b">
        <x:v>1</x:v>
      </x:c>
    </x:row>
    <x:row r="9" ht="28" customHeight="1">
      <x:c r="A9" s="54" t="str">
        <x:v>HSP-002-W03</x:v>
      </x:c>
      <x:c r="B9" s="54" t="str">
        <x:v>HSP-002</x:v>
      </x:c>
      <x:c r="C9" s="54" t="str">
        <x:v>General Surgery</x:v>
      </x:c>
      <x:c r="D9" s="54" t="str">
        <x:v>COMMON</x:v>
      </x:c>
      <x:c r="E9" s="54" t="n">
        <x:v>14</x:v>
      </x:c>
      <x:c r="F9" s="54" t="n">
        <x:v>8</x:v>
      </x:c>
      <x:c r="G9" s="54" t="n">
        <x:v>6</x:v>
      </x:c>
      <x:c r="H9" s="54" t="str">
        <x:v>302</x:v>
      </x:c>
      <x:c r="I9" s="54" t="str">
        <x:v>FULL</x:v>
      </x:c>
      <x:c r="J9" s="55" t="b">
        <x:v>1</x:v>
      </x:c>
    </x:row>
    <x:row r="10" ht="28" customHeight="1">
      <x:c r="A10" s="54" t="str">
        <x:v>HSP-002-W04</x:v>
      </x:c>
      <x:c r="B10" s="54" t="str">
        <x:v>HSP-002</x:v>
      </x:c>
      <x:c r="C10" s="54" t="str">
        <x:v>Paediatrics</x:v>
      </x:c>
      <x:c r="D10" s="54" t="str">
        <x:v>SPECIALITY</x:v>
      </x:c>
      <x:c r="E10" s="54" t="n">
        <x:v>14</x:v>
      </x:c>
      <x:c r="F10" s="54" t="n">
        <x:v>9</x:v>
      </x:c>
      <x:c r="G10" s="54" t="n">
        <x:v>5</x:v>
      </x:c>
      <x:c r="H10" s="54" t="str">
        <x:v>402</x:v>
      </x:c>
      <x:c r="I10" s="54" t="str">
        <x:v>FULL</x:v>
      </x:c>
      <x:c r="J10" s="55" t="b">
        <x:v>1</x:v>
      </x:c>
    </x:row>
    <x:row r="11" ht="28" customHeight="1">
      <x:c r="A11" s="54" t="str">
        <x:v>HSP-002-W05</x:v>
      </x:c>
      <x:c r="B11" s="54" t="str">
        <x:v>HSP-002</x:v>
      </x:c>
      <x:c r="C11" s="54" t="str">
        <x:v>Orthopaedics</x:v>
      </x:c>
      <x:c r="D11" s="54" t="str">
        <x:v>SPECIALITY</x:v>
      </x:c>
      <x:c r="E11" s="54" t="n">
        <x:v>12</x:v>
      </x:c>
      <x:c r="F11" s="54" t="n">
        <x:v>7</x:v>
      </x:c>
      <x:c r="G11" s="54" t="n">
        <x:v>5</x:v>
      </x:c>
      <x:c r="H11" s="54" t="str">
        <x:v>502</x:v>
      </x:c>
      <x:c r="I11" s="54" t="str">
        <x:v>FULL</x:v>
      </x:c>
      <x:c r="J11" s="55" t="b">
        <x:v>1</x:v>
      </x:c>
    </x:row>
    <x:row r="12" ht="28" customHeight="1">
      <x:c r="A12" s="54" t="str">
        <x:v>HSP-003-W01</x:v>
      </x:c>
      <x:c r="B12" s="54" t="str">
        <x:v>HSP-003</x:v>
      </x:c>
      <x:c r="C12" s="54" t="str">
        <x:v>Emergency and Triage</x:v>
      </x:c>
      <x:c r="D12" s="54" t="str">
        <x:v>COMMON</x:v>
      </x:c>
      <x:c r="E12" s="54" t="n">
        <x:v>9</x:v>
      </x:c>
      <x:c r="F12" s="54" t="n">
        <x:v>5</x:v>
      </x:c>
      <x:c r="G12" s="54" t="n">
        <x:v>4</x:v>
      </x:c>
      <x:c r="H12" s="54" t="str">
        <x:v>103</x:v>
      </x:c>
      <x:c r="I12" s="54" t="str">
        <x:v>LIMITED</x:v>
      </x:c>
      <x:c r="J12" s="55" t="b">
        <x:v>1</x:v>
      </x:c>
    </x:row>
    <x:row r="13" ht="28" customHeight="1">
      <x:c r="A13" s="54" t="str">
        <x:v>HSP-003-W02</x:v>
      </x:c>
      <x:c r="B13" s="54" t="str">
        <x:v>HSP-003</x:v>
      </x:c>
      <x:c r="C13" s="54" t="str">
        <x:v>General Medicine</x:v>
      </x:c>
      <x:c r="D13" s="54" t="str">
        <x:v>COMMON</x:v>
      </x:c>
      <x:c r="E13" s="54" t="n">
        <x:v>15</x:v>
      </x:c>
      <x:c r="F13" s="54" t="n">
        <x:v>10</x:v>
      </x:c>
      <x:c r="G13" s="54" t="n">
        <x:v>5</x:v>
      </x:c>
      <x:c r="H13" s="54" t="str">
        <x:v>203</x:v>
      </x:c>
      <x:c r="I13" s="54" t="str">
        <x:v>LIMITED</x:v>
      </x:c>
      <x:c r="J13" s="55" t="b">
        <x:v>1</x:v>
      </x:c>
    </x:row>
    <x:row r="14" ht="28" customHeight="1">
      <x:c r="A14" s="54" t="str">
        <x:v>HSP-003-W03</x:v>
      </x:c>
      <x:c r="B14" s="54" t="str">
        <x:v>HSP-003</x:v>
      </x:c>
      <x:c r="C14" s="54" t="str">
        <x:v>General Surgery</x:v>
      </x:c>
      <x:c r="D14" s="54" t="str">
        <x:v>COMMON</x:v>
      </x:c>
      <x:c r="E14" s="54" t="n">
        <x:v>12</x:v>
      </x:c>
      <x:c r="F14" s="54" t="n">
        <x:v>7</x:v>
      </x:c>
      <x:c r="G14" s="54" t="n">
        <x:v>5</x:v>
      </x:c>
      <x:c r="H14" s="54" t="str">
        <x:v>303</x:v>
      </x:c>
      <x:c r="I14" s="54" t="str">
        <x:v>LIMITED</x:v>
      </x:c>
      <x:c r="J14" s="55" t="b">
        <x:v>1</x:v>
      </x:c>
    </x:row>
    <x:row r="15" ht="28" customHeight="1">
      <x:c r="A15" s="54" t="str">
        <x:v>HSP-003-W04</x:v>
      </x:c>
      <x:c r="B15" s="54" t="str">
        <x:v>HSP-003</x:v>
      </x:c>
      <x:c r="C15" s="54" t="str">
        <x:v>Maternity</x:v>
      </x:c>
      <x:c r="D15" s="54" t="str">
        <x:v>SPECIALITY</x:v>
      </x:c>
      <x:c r="E15" s="54" t="n">
        <x:v>9</x:v>
      </x:c>
      <x:c r="F15" s="54" t="n">
        <x:v>5</x:v>
      </x:c>
      <x:c r="G15" s="54" t="n">
        <x:v>4</x:v>
      </x:c>
      <x:c r="H15" s="54" t="str">
        <x:v>403</x:v>
      </x:c>
      <x:c r="I15" s="54" t="str">
        <x:v>LIMITED</x:v>
      </x:c>
      <x:c r="J15" s="55" t="b">
        <x:v>1</x:v>
      </x:c>
    </x:row>
    <x:row r="16" ht="28" customHeight="1">
      <x:c r="A16" s="54" t="str">
        <x:v>HSP-003-W05</x:v>
      </x:c>
      <x:c r="B16" s="54" t="str">
        <x:v>HSP-003</x:v>
      </x:c>
      <x:c r="C16" s="54" t="str">
        <x:v>Isolation and Observation</x:v>
      </x:c>
      <x:c r="D16" s="54" t="str">
        <x:v>SPECIALITY</x:v>
      </x:c>
      <x:c r="E16" s="54" t="n">
        <x:v>7</x:v>
      </x:c>
      <x:c r="F16" s="54" t="n">
        <x:v>3</x:v>
      </x:c>
      <x:c r="G16" s="54" t="n">
        <x:v>4</x:v>
      </x:c>
      <x:c r="H16" s="54" t="str">
        <x:v>503</x:v>
      </x:c>
      <x:c r="I16" s="54" t="str">
        <x:v>LIMITED</x:v>
      </x:c>
      <x:c r="J16" s="55" t="b">
        <x:v>1</x:v>
      </x:c>
    </x:row>
    <x:row r="17" ht="28" customHeight="1">
      <x:c r="A17" s="54" t="str">
        <x:v>HSP-004-W01</x:v>
      </x:c>
      <x:c r="B17" s="54" t="str">
        <x:v>HSP-004</x:v>
      </x:c>
      <x:c r="C17" s="54" t="str">
        <x:v>Emergency and Triage</x:v>
      </x:c>
      <x:c r="D17" s="54" t="str">
        <x:v>COMMON</x:v>
      </x:c>
      <x:c r="E17" s="54" t="n">
        <x:v>7</x:v>
      </x:c>
      <x:c r="F17" s="54" t="n">
        <x:v>4</x:v>
      </x:c>
      <x:c r="G17" s="54" t="n">
        <x:v>3</x:v>
      </x:c>
      <x:c r="H17" s="54" t="str">
        <x:v>104</x:v>
      </x:c>
      <x:c r="I17" s="54" t="str">
        <x:v>LIMITED</x:v>
      </x:c>
      <x:c r="J17" s="55" t="b">
        <x:v>1</x:v>
      </x:c>
    </x:row>
    <x:row r="18" ht="28" customHeight="1">
      <x:c r="A18" s="54" t="str">
        <x:v>HSP-004-W02</x:v>
      </x:c>
      <x:c r="B18" s="54" t="str">
        <x:v>HSP-004</x:v>
      </x:c>
      <x:c r="C18" s="54" t="str">
        <x:v>General Medicine</x:v>
      </x:c>
      <x:c r="D18" s="54" t="str">
        <x:v>COMMON</x:v>
      </x:c>
      <x:c r="E18" s="54" t="n">
        <x:v>13</x:v>
      </x:c>
      <x:c r="F18" s="54" t="n">
        <x:v>8</x:v>
      </x:c>
      <x:c r="G18" s="54" t="n">
        <x:v>5</x:v>
      </x:c>
      <x:c r="H18" s="54" t="str">
        <x:v>204</x:v>
      </x:c>
      <x:c r="I18" s="54" t="str">
        <x:v>LIMITED</x:v>
      </x:c>
      <x:c r="J18" s="55" t="b">
        <x:v>1</x:v>
      </x:c>
    </x:row>
    <x:row r="19" ht="28" customHeight="1">
      <x:c r="A19" s="54" t="str">
        <x:v>HSP-004-W03</x:v>
      </x:c>
      <x:c r="B19" s="54" t="str">
        <x:v>HSP-004</x:v>
      </x:c>
      <x:c r="C19" s="54" t="str">
        <x:v>General Surgery</x:v>
      </x:c>
      <x:c r="D19" s="54" t="str">
        <x:v>COMMON</x:v>
      </x:c>
      <x:c r="E19" s="54" t="n">
        <x:v>10</x:v>
      </x:c>
      <x:c r="F19" s="54" t="n">
        <x:v>6</x:v>
      </x:c>
      <x:c r="G19" s="54" t="n">
        <x:v>4</x:v>
      </x:c>
      <x:c r="H19" s="54" t="str">
        <x:v>304</x:v>
      </x:c>
      <x:c r="I19" s="54" t="str">
        <x:v>LIMITED</x:v>
      </x:c>
      <x:c r="J19" s="55" t="b">
        <x:v>1</x:v>
      </x:c>
    </x:row>
    <x:row r="20" ht="28" customHeight="1">
      <x:c r="A20" s="54" t="str">
        <x:v>HSP-004-W04</x:v>
      </x:c>
      <x:c r="B20" s="54" t="str">
        <x:v>HSP-004</x:v>
      </x:c>
      <x:c r="C20" s="54" t="str">
        <x:v>Paediatrics</x:v>
      </x:c>
      <x:c r="D20" s="54" t="str">
        <x:v>SPECIALITY</x:v>
      </x:c>
      <x:c r="E20" s="54" t="n">
        <x:v>6</x:v>
      </x:c>
      <x:c r="F20" s="54" t="n">
        <x:v>3</x:v>
      </x:c>
      <x:c r="G20" s="54" t="n">
        <x:v>3</x:v>
      </x:c>
      <x:c r="H20" s="54" t="str">
        <x:v>404</x:v>
      </x:c>
      <x:c r="I20" s="54" t="str">
        <x:v>LIMITED</x:v>
      </x:c>
      <x:c r="J20" s="55" t="b">
        <x:v>1</x:v>
      </x:c>
    </x:row>
    <x:row r="21" ht="28" customHeight="1">
      <x:c r="A21" s="56" t="str">
        <x:v>HSP-004-W05</x:v>
      </x:c>
      <x:c r="B21" s="56" t="str">
        <x:v>HSP-004</x:v>
      </x:c>
      <x:c r="C21" s="56" t="str">
        <x:v>Trauma and Observation</x:v>
      </x:c>
      <x:c r="D21" s="56" t="str">
        <x:v>SPECIALITY</x:v>
      </x:c>
      <x:c r="E21" s="56" t="n">
        <x:v>4</x:v>
      </x:c>
      <x:c r="F21" s="56" t="n">
        <x:v>1</x:v>
      </x:c>
      <x:c r="G21" s="56" t="n">
        <x:v>3</x:v>
      </x:c>
      <x:c r="H21" s="56" t="str">
        <x:v>504</x:v>
      </x:c>
      <x:c r="I21" s="56" t="str">
        <x:v>LIMITED</x:v>
      </x:c>
      <x:c r="J21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4c86f10a3dc47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20" hidden="0" customWidth="1"/>
    <x:col min="7" max="7" width="16" hidden="0" customWidth="1"/>
    <x:col min="8" max="8" width="18" hidden="0" customWidth="1"/>
    <x:col min="9" max="9" width="18" hidden="0" customWidth="1"/>
  </x:cols>
  <x:sheetData>
    <x:row r="1" ht="34" customHeight="1">
      <x:c r="A1" s="53" t="str">
        <x:v>staff_id</x:v>
      </x:c>
      <x:c r="B1" s="53" t="str">
        <x:v>hospital_id</x:v>
      </x:c>
      <x:c r="C1" s="53" t="str">
        <x:v>full_name</x:v>
      </x:c>
      <x:c r="D1" s="53" t="str">
        <x:v>staff_role</x:v>
      </x:c>
      <x:c r="E1" s="53" t="str">
        <x:v>specialization</x:v>
      </x:c>
      <x:c r="F1" s="53" t="str">
        <x:v>demo_registration_number</x:v>
      </x:c>
      <x:c r="G1" s="53" t="str">
        <x:v>default_shift</x:v>
      </x:c>
      <x:c r="H1" s="53" t="str">
        <x:v>is_active</x:v>
      </x:c>
      <x:c r="I1" s="53" t="str">
        <x:v>is_synthetic</x:v>
      </x:c>
    </x:row>
    <x:row r="2" ht="28" customHeight="1">
      <x:c r="A2" s="54" t="str">
        <x:v>HSP-001-D01</x:v>
      </x:c>
      <x:c r="B2" s="54" t="str">
        <x:v>HSP-001</x:v>
      </x:c>
      <x:c r="C2" s="54" t="str">
        <x:v>Aarav Mehta</x:v>
      </x:c>
      <x:c r="D2" s="54" t="str">
        <x:v>DOCTOR</x:v>
      </x:c>
      <x:c r="E2" s="54" t="str">
        <x:v>Emergency Medicine</x:v>
      </x:c>
      <x:c r="F2" s="54" t="str">
        <x:v>DEMO-MED-101</x:v>
      </x:c>
      <x:c r="G2" s="54" t="str">
        <x:v>MORNING</x:v>
      </x:c>
      <x:c r="H2" s="55" t="b">
        <x:v>1</x:v>
      </x:c>
      <x:c r="I2" s="55" t="b">
        <x:v>1</x:v>
      </x:c>
    </x:row>
    <x:row r="3" ht="28" customHeight="1">
      <x:c r="A3" s="54" t="str">
        <x:v>HSP-001-D02</x:v>
      </x:c>
      <x:c r="B3" s="54" t="str">
        <x:v>HSP-001</x:v>
      </x:c>
      <x:c r="C3" s="54" t="str">
        <x:v>Diya Kapoor</x:v>
      </x:c>
      <x:c r="D3" s="54" t="str">
        <x:v>DOCTOR</x:v>
      </x:c>
      <x:c r="E3" s="54" t="str">
        <x:v>General Medicine</x:v>
      </x:c>
      <x:c r="F3" s="54" t="str">
        <x:v>DEMO-MED-102</x:v>
      </x:c>
      <x:c r="G3" s="54" t="str">
        <x:v>EVENING</x:v>
      </x:c>
      <x:c r="H3" s="55" t="b">
        <x:v>1</x:v>
      </x:c>
      <x:c r="I3" s="55" t="b">
        <x:v>1</x:v>
      </x:c>
    </x:row>
    <x:row r="4" ht="28" customHeight="1">
      <x:c r="A4" s="54" t="str">
        <x:v>HSP-001-D03</x:v>
      </x:c>
      <x:c r="B4" s="54" t="str">
        <x:v>HSP-001</x:v>
      </x:c>
      <x:c r="C4" s="54" t="str">
        <x:v>Kabir Rao</x:v>
      </x:c>
      <x:c r="D4" s="54" t="str">
        <x:v>DOCTOR</x:v>
      </x:c>
      <x:c r="E4" s="54" t="str">
        <x:v>General Surgery</x:v>
      </x:c>
      <x:c r="F4" s="54" t="str">
        <x:v>DEMO-MED-103</x:v>
      </x:c>
      <x:c r="G4" s="54" t="str">
        <x:v>ROTATING</x:v>
      </x:c>
      <x:c r="H4" s="55" t="b">
        <x:v>1</x:v>
      </x:c>
      <x:c r="I4" s="55" t="b">
        <x:v>1</x:v>
      </x:c>
    </x:row>
    <x:row r="5" ht="28" customHeight="1">
      <x:c r="A5" s="54" t="str">
        <x:v>HSP-001-D04</x:v>
      </x:c>
      <x:c r="B5" s="54" t="str">
        <x:v>HSP-001</x:v>
      </x:c>
      <x:c r="C5" s="54" t="str">
        <x:v>Meera Nair</x:v>
      </x:c>
      <x:c r="D5" s="54" t="str">
        <x:v>DOCTOR</x:v>
      </x:c>
      <x:c r="E5" s="54" t="str">
        <x:v>Cardiology</x:v>
      </x:c>
      <x:c r="F5" s="54" t="str">
        <x:v>DEMO-MED-104</x:v>
      </x:c>
      <x:c r="G5" s="54" t="str">
        <x:v>ROTATING</x:v>
      </x:c>
      <x:c r="H5" s="55" t="b">
        <x:v>1</x:v>
      </x:c>
      <x:c r="I5" s="55" t="b">
        <x:v>1</x:v>
      </x:c>
    </x:row>
    <x:row r="6" ht="28" customHeight="1">
      <x:c r="A6" s="54" t="str">
        <x:v>HSP-001-D05</x:v>
      </x:c>
      <x:c r="B6" s="54" t="str">
        <x:v>HSP-001</x:v>
      </x:c>
      <x:c r="C6" s="54" t="str">
        <x:v>Vihaan Shah</x:v>
      </x:c>
      <x:c r="D6" s="54" t="str">
        <x:v>DOCTOR</x:v>
      </x:c>
      <x:c r="E6" s="54" t="str">
        <x:v>Critical Care</x:v>
      </x:c>
      <x:c r="F6" s="54" t="str">
        <x:v>DEMO-MED-105</x:v>
      </x:c>
      <x:c r="G6" s="54" t="str">
        <x:v>ROTATING</x:v>
      </x:c>
      <x:c r="H6" s="55" t="b">
        <x:v>1</x:v>
      </x:c>
      <x:c r="I6" s="55" t="b">
        <x:v>1</x:v>
      </x:c>
    </x:row>
    <x:row r="7" ht="28" customHeight="1">
      <x:c r="A7" s="54" t="str">
        <x:v>HSP-001-N01</x:v>
      </x:c>
      <x:c r="B7" s="54" t="str">
        <x:v>HSP-001</x:v>
      </x:c>
      <x:c r="C7" s="54" t="str">
        <x:v>Ananya Iyer</x:v>
      </x:c>
      <x:c r="D7" s="54" t="str">
        <x:v>NURSE</x:v>
      </x:c>
      <x:c r="E7" s="54" t="str">
        <x:v>Triage Nursing</x:v>
      </x:c>
      <x:c r="F7" s="54" t="str">
        <x:v>DEMO-NUR-101</x:v>
      </x:c>
      <x:c r="G7" s="54" t="str">
        <x:v>MORNING</x:v>
      </x:c>
      <x:c r="H7" s="55" t="b">
        <x:v>1</x:v>
      </x:c>
      <x:c r="I7" s="55" t="b">
        <x:v>1</x:v>
      </x:c>
    </x:row>
    <x:row r="8" ht="28" customHeight="1">
      <x:c r="A8" s="54" t="str">
        <x:v>HSP-001-N02</x:v>
      </x:c>
      <x:c r="B8" s="54" t="str">
        <x:v>HSP-001</x:v>
      </x:c>
      <x:c r="C8" s="54" t="str">
        <x:v>Arjun Patel</x:v>
      </x:c>
      <x:c r="D8" s="54" t="str">
        <x:v>NURSE</x:v>
      </x:c>
      <x:c r="E8" s="54" t="str">
        <x:v>General Nursing</x:v>
      </x:c>
      <x:c r="F8" s="54" t="str">
        <x:v>DEMO-NUR-102</x:v>
      </x:c>
      <x:c r="G8" s="54" t="str">
        <x:v>ROTATING</x:v>
      </x:c>
      <x:c r="H8" s="55" t="b">
        <x:v>1</x:v>
      </x:c>
      <x:c r="I8" s="55" t="b">
        <x:v>1</x:v>
      </x:c>
    </x:row>
    <x:row r="9" ht="28" customHeight="1">
      <x:c r="A9" s="54" t="str">
        <x:v>HSP-001-N03</x:v>
      </x:c>
      <x:c r="B9" s="54" t="str">
        <x:v>HSP-001</x:v>
      </x:c>
      <x:c r="C9" s="54" t="str">
        <x:v>Ishita Joshi</x:v>
      </x:c>
      <x:c r="D9" s="54" t="str">
        <x:v>NURSE</x:v>
      </x:c>
      <x:c r="E9" s="54" t="str">
        <x:v>General Nursing</x:v>
      </x:c>
      <x:c r="F9" s="54" t="str">
        <x:v>DEMO-NUR-103</x:v>
      </x:c>
      <x:c r="G9" s="54" t="str">
        <x:v>ROTATING</x:v>
      </x:c>
      <x:c r="H9" s="55" t="b">
        <x:v>1</x:v>
      </x:c>
      <x:c r="I9" s="55" t="b">
        <x:v>1</x:v>
      </x:c>
    </x:row>
    <x:row r="10" ht="28" customHeight="1">
      <x:c r="A10" s="54" t="str">
        <x:v>HSP-001-R01</x:v>
      </x:c>
      <x:c r="B10" s="54" t="str">
        <x:v>HSP-001</x:v>
      </x:c>
      <x:c r="C10" s="54" t="str">
        <x:v>Rohan Das</x:v>
      </x:c>
      <x:c r="D10" s="54" t="str">
        <x:v>RECEPTIONIST</x:v>
      </x:c>
      <x:c r="E10" s="54" t="str">
        <x:v>Front Desk</x:v>
      </x:c>
      <x:c r="F10" s="54"/>
      <x:c r="G10" s="54" t="str">
        <x:v>MORNING</x:v>
      </x:c>
      <x:c r="H10" s="55" t="b">
        <x:v>1</x:v>
      </x:c>
      <x:c r="I10" s="55" t="b">
        <x:v>1</x:v>
      </x:c>
    </x:row>
    <x:row r="11" ht="28" customHeight="1">
      <x:c r="A11" s="54" t="str">
        <x:v>HSP-001-R02</x:v>
      </x:c>
      <x:c r="B11" s="54" t="str">
        <x:v>HSP-001</x:v>
      </x:c>
      <x:c r="C11" s="54" t="str">
        <x:v>Sara Khan</x:v>
      </x:c>
      <x:c r="D11" s="54" t="str">
        <x:v>RECEPTIONIST</x:v>
      </x:c>
      <x:c r="E11" s="54" t="str">
        <x:v>Front Desk</x:v>
      </x:c>
      <x:c r="F11" s="54"/>
      <x:c r="G11" s="54" t="str">
        <x:v>ROTATING</x:v>
      </x:c>
      <x:c r="H11" s="55" t="b">
        <x:v>1</x:v>
      </x:c>
      <x:c r="I11" s="55" t="b">
        <x:v>1</x:v>
      </x:c>
    </x:row>
    <x:row r="12" ht="28" customHeight="1">
      <x:c r="A12" s="54" t="str">
        <x:v>HSP-002-D01</x:v>
      </x:c>
      <x:c r="B12" s="54" t="str">
        <x:v>HSP-002</x:v>
      </x:c>
      <x:c r="C12" s="54" t="str">
        <x:v>Aditya Menon</x:v>
      </x:c>
      <x:c r="D12" s="54" t="str">
        <x:v>DOCTOR</x:v>
      </x:c>
      <x:c r="E12" s="54" t="str">
        <x:v>Emergency Medicine</x:v>
      </x:c>
      <x:c r="F12" s="54" t="str">
        <x:v>DEMO-MED-201</x:v>
      </x:c>
      <x:c r="G12" s="54" t="str">
        <x:v>MORNING</x:v>
      </x:c>
      <x:c r="H12" s="55" t="b">
        <x:v>1</x:v>
      </x:c>
      <x:c r="I12" s="55" t="b">
        <x:v>1</x:v>
      </x:c>
    </x:row>
    <x:row r="13" ht="28" customHeight="1">
      <x:c r="A13" s="54" t="str">
        <x:v>HSP-002-D02</x:v>
      </x:c>
      <x:c r="B13" s="54" t="str">
        <x:v>HSP-002</x:v>
      </x:c>
      <x:c r="C13" s="54" t="str">
        <x:v>Kavya Reddy</x:v>
      </x:c>
      <x:c r="D13" s="54" t="str">
        <x:v>DOCTOR</x:v>
      </x:c>
      <x:c r="E13" s="54" t="str">
        <x:v>General Medicine</x:v>
      </x:c>
      <x:c r="F13" s="54" t="str">
        <x:v>DEMO-MED-202</x:v>
      </x:c>
      <x:c r="G13" s="54" t="str">
        <x:v>EVENING</x:v>
      </x:c>
      <x:c r="H13" s="55" t="b">
        <x:v>1</x:v>
      </x:c>
      <x:c r="I13" s="55" t="b">
        <x:v>1</x:v>
      </x:c>
    </x:row>
    <x:row r="14" ht="28" customHeight="1">
      <x:c r="A14" s="54" t="str">
        <x:v>HSP-002-D03</x:v>
      </x:c>
      <x:c r="B14" s="54" t="str">
        <x:v>HSP-002</x:v>
      </x:c>
      <x:c r="C14" s="54" t="str">
        <x:v>Neil Thomas</x:v>
      </x:c>
      <x:c r="D14" s="54" t="str">
        <x:v>DOCTOR</x:v>
      </x:c>
      <x:c r="E14" s="54" t="str">
        <x:v>General Surgery</x:v>
      </x:c>
      <x:c r="F14" s="54" t="str">
        <x:v>DEMO-MED-203</x:v>
      </x:c>
      <x:c r="G14" s="54" t="str">
        <x:v>ROTATING</x:v>
      </x:c>
      <x:c r="H14" s="55" t="b">
        <x:v>1</x:v>
      </x:c>
      <x:c r="I14" s="55" t="b">
        <x:v>1</x:v>
      </x:c>
    </x:row>
    <x:row r="15" ht="28" customHeight="1">
      <x:c r="A15" s="54" t="str">
        <x:v>HSP-002-D04</x:v>
      </x:c>
      <x:c r="B15" s="54" t="str">
        <x:v>HSP-002</x:v>
      </x:c>
      <x:c r="C15" s="54" t="str">
        <x:v>Priya Bhat</x:v>
      </x:c>
      <x:c r="D15" s="54" t="str">
        <x:v>DOCTOR</x:v>
      </x:c>
      <x:c r="E15" s="54" t="str">
        <x:v>Paediatrics</x:v>
      </x:c>
      <x:c r="F15" s="54" t="str">
        <x:v>DEMO-MED-204</x:v>
      </x:c>
      <x:c r="G15" s="54" t="str">
        <x:v>ROTATING</x:v>
      </x:c>
      <x:c r="H15" s="55" t="b">
        <x:v>1</x:v>
      </x:c>
      <x:c r="I15" s="55" t="b">
        <x:v>1</x:v>
      </x:c>
    </x:row>
    <x:row r="16" ht="28" customHeight="1">
      <x:c r="A16" s="54" t="str">
        <x:v>HSP-002-D05</x:v>
      </x:c>
      <x:c r="B16" s="54" t="str">
        <x:v>HSP-002</x:v>
      </x:c>
      <x:c r="C16" s="54" t="str">
        <x:v>Siddharth Jain</x:v>
      </x:c>
      <x:c r="D16" s="54" t="str">
        <x:v>DOCTOR</x:v>
      </x:c>
      <x:c r="E16" s="54" t="str">
        <x:v>Orthopaedics</x:v>
      </x:c>
      <x:c r="F16" s="54" t="str">
        <x:v>DEMO-MED-205</x:v>
      </x:c>
      <x:c r="G16" s="54" t="str">
        <x:v>ROTATING</x:v>
      </x:c>
      <x:c r="H16" s="55" t="b">
        <x:v>1</x:v>
      </x:c>
      <x:c r="I16" s="55" t="b">
        <x:v>1</x:v>
      </x:c>
    </x:row>
    <x:row r="17" ht="28" customHeight="1">
      <x:c r="A17" s="54" t="str">
        <x:v>HSP-002-N01</x:v>
      </x:c>
      <x:c r="B17" s="54" t="str">
        <x:v>HSP-002</x:v>
      </x:c>
      <x:c r="C17" s="54" t="str">
        <x:v>Tara Kulkarni</x:v>
      </x:c>
      <x:c r="D17" s="54" t="str">
        <x:v>NURSE</x:v>
      </x:c>
      <x:c r="E17" s="54" t="str">
        <x:v>Triage Nursing</x:v>
      </x:c>
      <x:c r="F17" s="54" t="str">
        <x:v>DEMO-NUR-201</x:v>
      </x:c>
      <x:c r="G17" s="54" t="str">
        <x:v>MORNING</x:v>
      </x:c>
      <x:c r="H17" s="55" t="b">
        <x:v>1</x:v>
      </x:c>
      <x:c r="I17" s="55" t="b">
        <x:v>1</x:v>
      </x:c>
    </x:row>
    <x:row r="18" ht="28" customHeight="1">
      <x:c r="A18" s="54" t="str">
        <x:v>HSP-002-N02</x:v>
      </x:c>
      <x:c r="B18" s="54" t="str">
        <x:v>HSP-002</x:v>
      </x:c>
      <x:c r="C18" s="54" t="str">
        <x:v>Yash Verma</x:v>
      </x:c>
      <x:c r="D18" s="54" t="str">
        <x:v>NURSE</x:v>
      </x:c>
      <x:c r="E18" s="54" t="str">
        <x:v>General Nursing</x:v>
      </x:c>
      <x:c r="F18" s="54" t="str">
        <x:v>DEMO-NUR-202</x:v>
      </x:c>
      <x:c r="G18" s="54" t="str">
        <x:v>ROTATING</x:v>
      </x:c>
      <x:c r="H18" s="55" t="b">
        <x:v>1</x:v>
      </x:c>
      <x:c r="I18" s="55" t="b">
        <x:v>1</x:v>
      </x:c>
    </x:row>
    <x:row r="19" ht="28" customHeight="1">
      <x:c r="A19" s="54" t="str">
        <x:v>HSP-002-N03</x:v>
      </x:c>
      <x:c r="B19" s="54" t="str">
        <x:v>HSP-002</x:v>
      </x:c>
      <x:c r="C19" s="54" t="str">
        <x:v>Naina Bose</x:v>
      </x:c>
      <x:c r="D19" s="54" t="str">
        <x:v>NURSE</x:v>
      </x:c>
      <x:c r="E19" s="54" t="str">
        <x:v>General Nursing</x:v>
      </x:c>
      <x:c r="F19" s="54" t="str">
        <x:v>DEMO-NUR-203</x:v>
      </x:c>
      <x:c r="G19" s="54" t="str">
        <x:v>ROTATING</x:v>
      </x:c>
      <x:c r="H19" s="55" t="b">
        <x:v>1</x:v>
      </x:c>
      <x:c r="I19" s="55" t="b">
        <x:v>1</x:v>
      </x:c>
    </x:row>
    <x:row r="20" ht="28" customHeight="1">
      <x:c r="A20" s="54" t="str">
        <x:v>HSP-002-R01</x:v>
      </x:c>
      <x:c r="B20" s="54" t="str">
        <x:v>HSP-002</x:v>
      </x:c>
      <x:c r="C20" s="54" t="str">
        <x:v>Rahul Sethi</x:v>
      </x:c>
      <x:c r="D20" s="54" t="str">
        <x:v>RECEPTIONIST</x:v>
      </x:c>
      <x:c r="E20" s="54" t="str">
        <x:v>Front Desk</x:v>
      </x:c>
      <x:c r="F20" s="54"/>
      <x:c r="G20" s="54" t="str">
        <x:v>MORNING</x:v>
      </x:c>
      <x:c r="H20" s="55" t="b">
        <x:v>1</x:v>
      </x:c>
      <x:c r="I20" s="55" t="b">
        <x:v>1</x:v>
      </x:c>
    </x:row>
    <x:row r="21" ht="28" customHeight="1">
      <x:c r="A21" s="54" t="str">
        <x:v>HSP-002-R02</x:v>
      </x:c>
      <x:c r="B21" s="54" t="str">
        <x:v>HSP-002</x:v>
      </x:c>
      <x:c r="C21" s="54" t="str">
        <x:v>Zoya Ali</x:v>
      </x:c>
      <x:c r="D21" s="54" t="str">
        <x:v>RECEPTIONIST</x:v>
      </x:c>
      <x:c r="E21" s="54" t="str">
        <x:v>Front Desk</x:v>
      </x:c>
      <x:c r="F21" s="54"/>
      <x:c r="G21" s="54" t="str">
        <x:v>ROTATING</x:v>
      </x:c>
      <x:c r="H21" s="55" t="b">
        <x:v>1</x:v>
      </x:c>
      <x:c r="I21" s="55" t="b">
        <x:v>1</x:v>
      </x:c>
    </x:row>
    <x:row r="22" ht="28" customHeight="1">
      <x:c r="A22" s="54" t="str">
        <x:v>HSP-003-D01</x:v>
      </x:c>
      <x:c r="B22" s="54" t="str">
        <x:v>HSP-003</x:v>
      </x:c>
      <x:c r="C22" s="54" t="str">
        <x:v>Akash Gupta</x:v>
      </x:c>
      <x:c r="D22" s="54" t="str">
        <x:v>DOCTOR</x:v>
      </x:c>
      <x:c r="E22" s="54" t="str">
        <x:v>Emergency Medicine</x:v>
      </x:c>
      <x:c r="F22" s="54" t="str">
        <x:v>DEMO-MED-301</x:v>
      </x:c>
      <x:c r="G22" s="54" t="str">
        <x:v>MORNING</x:v>
      </x:c>
      <x:c r="H22" s="55" t="b">
        <x:v>1</x:v>
      </x:c>
      <x:c r="I22" s="55" t="b">
        <x:v>1</x:v>
      </x:c>
    </x:row>
    <x:row r="23" ht="28" customHeight="1">
      <x:c r="A23" s="54" t="str">
        <x:v>HSP-003-D02</x:v>
      </x:c>
      <x:c r="B23" s="54" t="str">
        <x:v>HSP-003</x:v>
      </x:c>
      <x:c r="C23" s="54" t="str">
        <x:v>Bhavna Desai</x:v>
      </x:c>
      <x:c r="D23" s="54" t="str">
        <x:v>DOCTOR</x:v>
      </x:c>
      <x:c r="E23" s="54" t="str">
        <x:v>General Medicine</x:v>
      </x:c>
      <x:c r="F23" s="54" t="str">
        <x:v>DEMO-MED-302</x:v>
      </x:c>
      <x:c r="G23" s="54" t="str">
        <x:v>EVENING</x:v>
      </x:c>
      <x:c r="H23" s="55" t="b">
        <x:v>1</x:v>
      </x:c>
      <x:c r="I23" s="55" t="b">
        <x:v>1</x:v>
      </x:c>
    </x:row>
    <x:row r="24" ht="28" customHeight="1">
      <x:c r="A24" s="54" t="str">
        <x:v>HSP-003-D03</x:v>
      </x:c>
      <x:c r="B24" s="54" t="str">
        <x:v>HSP-003</x:v>
      </x:c>
      <x:c r="C24" s="54" t="str">
        <x:v>Chirag Malhotra</x:v>
      </x:c>
      <x:c r="D24" s="54" t="str">
        <x:v>DOCTOR</x:v>
      </x:c>
      <x:c r="E24" s="54" t="str">
        <x:v>General Surgery</x:v>
      </x:c>
      <x:c r="F24" s="54" t="str">
        <x:v>DEMO-MED-303</x:v>
      </x:c>
      <x:c r="G24" s="54" t="str">
        <x:v>ROTATING</x:v>
      </x:c>
      <x:c r="H24" s="55" t="b">
        <x:v>1</x:v>
      </x:c>
      <x:c r="I24" s="55" t="b">
        <x:v>1</x:v>
      </x:c>
    </x:row>
    <x:row r="25" ht="28" customHeight="1">
      <x:c r="A25" s="54" t="str">
        <x:v>HSP-003-D04</x:v>
      </x:c>
      <x:c r="B25" s="54" t="str">
        <x:v>HSP-003</x:v>
      </x:c>
      <x:c r="C25" s="54" t="str">
        <x:v>Deepa Pillai</x:v>
      </x:c>
      <x:c r="D25" s="54" t="str">
        <x:v>DOCTOR</x:v>
      </x:c>
      <x:c r="E25" s="54" t="str">
        <x:v>Obstetrics</x:v>
      </x:c>
      <x:c r="F25" s="54" t="str">
        <x:v>DEMO-MED-304</x:v>
      </x:c>
      <x:c r="G25" s="54" t="str">
        <x:v>ROTATING</x:v>
      </x:c>
      <x:c r="H25" s="55" t="b">
        <x:v>1</x:v>
      </x:c>
      <x:c r="I25" s="55" t="b">
        <x:v>1</x:v>
      </x:c>
    </x:row>
    <x:row r="26" ht="28" customHeight="1">
      <x:c r="A26" s="54" t="str">
        <x:v>HSP-003-D05</x:v>
      </x:c>
      <x:c r="B26" s="54" t="str">
        <x:v>HSP-003</x:v>
      </x:c>
      <x:c r="C26" s="54" t="str">
        <x:v>Eshan Roy</x:v>
      </x:c>
      <x:c r="D26" s="54" t="str">
        <x:v>DOCTOR</x:v>
      </x:c>
      <x:c r="E26" s="54" t="str">
        <x:v>Family Medicine</x:v>
      </x:c>
      <x:c r="F26" s="54" t="str">
        <x:v>DEMO-MED-305</x:v>
      </x:c>
      <x:c r="G26" s="54" t="str">
        <x:v>ROTATING</x:v>
      </x:c>
      <x:c r="H26" s="55" t="b">
        <x:v>1</x:v>
      </x:c>
      <x:c r="I26" s="55" t="b">
        <x:v>1</x:v>
      </x:c>
    </x:row>
    <x:row r="27" ht="28" customHeight="1">
      <x:c r="A27" s="54" t="str">
        <x:v>HSP-003-N01</x:v>
      </x:c>
      <x:c r="B27" s="54" t="str">
        <x:v>HSP-003</x:v>
      </x:c>
      <x:c r="C27" s="54" t="str">
        <x:v>Farah Siddiqui</x:v>
      </x:c>
      <x:c r="D27" s="54" t="str">
        <x:v>NURSE</x:v>
      </x:c>
      <x:c r="E27" s="54" t="str">
        <x:v>Triage Nursing</x:v>
      </x:c>
      <x:c r="F27" s="54" t="str">
        <x:v>DEMO-NUR-301</x:v>
      </x:c>
      <x:c r="G27" s="54" t="str">
        <x:v>MORNING</x:v>
      </x:c>
      <x:c r="H27" s="55" t="b">
        <x:v>1</x:v>
      </x:c>
      <x:c r="I27" s="55" t="b">
        <x:v>1</x:v>
      </x:c>
    </x:row>
    <x:row r="28" ht="28" customHeight="1">
      <x:c r="A28" s="54" t="str">
        <x:v>HSP-003-N02</x:v>
      </x:c>
      <x:c r="B28" s="54" t="str">
        <x:v>HSP-003</x:v>
      </x:c>
      <x:c r="C28" s="54" t="str">
        <x:v>Gaurav Arora</x:v>
      </x:c>
      <x:c r="D28" s="54" t="str">
        <x:v>NURSE</x:v>
      </x:c>
      <x:c r="E28" s="54" t="str">
        <x:v>General Nursing</x:v>
      </x:c>
      <x:c r="F28" s="54" t="str">
        <x:v>DEMO-NUR-302</x:v>
      </x:c>
      <x:c r="G28" s="54" t="str">
        <x:v>ROTATING</x:v>
      </x:c>
      <x:c r="H28" s="55" t="b">
        <x:v>1</x:v>
      </x:c>
      <x:c r="I28" s="55" t="b">
        <x:v>1</x:v>
      </x:c>
    </x:row>
    <x:row r="29" ht="28" customHeight="1">
      <x:c r="A29" s="54" t="str">
        <x:v>HSP-003-N03</x:v>
      </x:c>
      <x:c r="B29" s="54" t="str">
        <x:v>HSP-003</x:v>
      </x:c>
      <x:c r="C29" s="54" t="str">
        <x:v>Heena Sheikh</x:v>
      </x:c>
      <x:c r="D29" s="54" t="str">
        <x:v>NURSE</x:v>
      </x:c>
      <x:c r="E29" s="54" t="str">
        <x:v>General Nursing</x:v>
      </x:c>
      <x:c r="F29" s="54" t="str">
        <x:v>DEMO-NUR-303</x:v>
      </x:c>
      <x:c r="G29" s="54" t="str">
        <x:v>ROTATING</x:v>
      </x:c>
      <x:c r="H29" s="55" t="b">
        <x:v>1</x:v>
      </x:c>
      <x:c r="I29" s="55" t="b">
        <x:v>1</x:v>
      </x:c>
    </x:row>
    <x:row r="30" ht="28" customHeight="1">
      <x:c r="A30" s="54" t="str">
        <x:v>HSP-003-R01</x:v>
      </x:c>
      <x:c r="B30" s="54" t="str">
        <x:v>HSP-003</x:v>
      </x:c>
      <x:c r="C30" s="54" t="str">
        <x:v>Imran Qureshi</x:v>
      </x:c>
      <x:c r="D30" s="54" t="str">
        <x:v>RECEPTIONIST</x:v>
      </x:c>
      <x:c r="E30" s="54" t="str">
        <x:v>Front Desk</x:v>
      </x:c>
      <x:c r="F30" s="54"/>
      <x:c r="G30" s="54" t="str">
        <x:v>MORNING</x:v>
      </x:c>
      <x:c r="H30" s="55" t="b">
        <x:v>1</x:v>
      </x:c>
      <x:c r="I30" s="55" t="b">
        <x:v>1</x:v>
      </x:c>
    </x:row>
    <x:row r="31" ht="28" customHeight="1">
      <x:c r="A31" s="54" t="str">
        <x:v>HSP-003-R02</x:v>
      </x:c>
      <x:c r="B31" s="54" t="str">
        <x:v>HSP-003</x:v>
      </x:c>
      <x:c r="C31" s="54" t="str">
        <x:v>Juhi Saxena</x:v>
      </x:c>
      <x:c r="D31" s="54" t="str">
        <x:v>RECEPTIONIST</x:v>
      </x:c>
      <x:c r="E31" s="54" t="str">
        <x:v>Front Desk</x:v>
      </x:c>
      <x:c r="F31" s="54"/>
      <x:c r="G31" s="54" t="str">
        <x:v>ROTATING</x:v>
      </x:c>
      <x:c r="H31" s="55" t="b">
        <x:v>1</x:v>
      </x:c>
      <x:c r="I31" s="55" t="b">
        <x:v>1</x:v>
      </x:c>
    </x:row>
    <x:row r="32" ht="28" customHeight="1">
      <x:c r="A32" s="54" t="str">
        <x:v>HSP-004-D01</x:v>
      </x:c>
      <x:c r="B32" s="54" t="str">
        <x:v>HSP-004</x:v>
      </x:c>
      <x:c r="C32" s="54" t="str">
        <x:v>Karan Chawla</x:v>
      </x:c>
      <x:c r="D32" s="54" t="str">
        <x:v>DOCTOR</x:v>
      </x:c>
      <x:c r="E32" s="54" t="str">
        <x:v>Emergency Medicine</x:v>
      </x:c>
      <x:c r="F32" s="54" t="str">
        <x:v>DEMO-MED-401</x:v>
      </x:c>
      <x:c r="G32" s="54" t="str">
        <x:v>MORNING</x:v>
      </x:c>
      <x:c r="H32" s="55" t="b">
        <x:v>1</x:v>
      </x:c>
      <x:c r="I32" s="55" t="b">
        <x:v>1</x:v>
      </x:c>
    </x:row>
    <x:row r="33" ht="28" customHeight="1">
      <x:c r="A33" s="54" t="str">
        <x:v>HSP-004-D02</x:v>
      </x:c>
      <x:c r="B33" s="54" t="str">
        <x:v>HSP-004</x:v>
      </x:c>
      <x:c r="C33" s="54" t="str">
        <x:v>Leena Dsouza</x:v>
      </x:c>
      <x:c r="D33" s="54" t="str">
        <x:v>DOCTOR</x:v>
      </x:c>
      <x:c r="E33" s="54" t="str">
        <x:v>Family Medicine</x:v>
      </x:c>
      <x:c r="F33" s="54" t="str">
        <x:v>DEMO-MED-402</x:v>
      </x:c>
      <x:c r="G33" s="54" t="str">
        <x:v>EVENING</x:v>
      </x:c>
      <x:c r="H33" s="55" t="b">
        <x:v>1</x:v>
      </x:c>
      <x:c r="I33" s="55" t="b">
        <x:v>1</x:v>
      </x:c>
    </x:row>
    <x:row r="34" ht="28" customHeight="1">
      <x:c r="A34" s="54" t="str">
        <x:v>HSP-004-D03</x:v>
      </x:c>
      <x:c r="B34" s="54" t="str">
        <x:v>HSP-004</x:v>
      </x:c>
      <x:c r="C34" s="54" t="str">
        <x:v>Manav Agrawal</x:v>
      </x:c>
      <x:c r="D34" s="54" t="str">
        <x:v>DOCTOR</x:v>
      </x:c>
      <x:c r="E34" s="54" t="str">
        <x:v>General Surgery</x:v>
      </x:c>
      <x:c r="F34" s="54" t="str">
        <x:v>DEMO-MED-403</x:v>
      </x:c>
      <x:c r="G34" s="54" t="str">
        <x:v>ROTATING</x:v>
      </x:c>
      <x:c r="H34" s="55" t="b">
        <x:v>1</x:v>
      </x:c>
      <x:c r="I34" s="55" t="b">
        <x:v>1</x:v>
      </x:c>
    </x:row>
    <x:row r="35" ht="28" customHeight="1">
      <x:c r="A35" s="54" t="str">
        <x:v>HSP-004-D04</x:v>
      </x:c>
      <x:c r="B35" s="54" t="str">
        <x:v>HSP-004</x:v>
      </x:c>
      <x:c r="C35" s="54" t="str">
        <x:v>Neha Pawar</x:v>
      </x:c>
      <x:c r="D35" s="54" t="str">
        <x:v>DOCTOR</x:v>
      </x:c>
      <x:c r="E35" s="54" t="str">
        <x:v>Paediatrics</x:v>
      </x:c>
      <x:c r="F35" s="54" t="str">
        <x:v>DEMO-MED-404</x:v>
      </x:c>
      <x:c r="G35" s="54" t="str">
        <x:v>ROTATING</x:v>
      </x:c>
      <x:c r="H35" s="55" t="b">
        <x:v>1</x:v>
      </x:c>
      <x:c r="I35" s="55" t="b">
        <x:v>1</x:v>
      </x:c>
    </x:row>
    <x:row r="36" ht="28" customHeight="1">
      <x:c r="A36" s="54" t="str">
        <x:v>HSP-004-D05</x:v>
      </x:c>
      <x:c r="B36" s="54" t="str">
        <x:v>HSP-004</x:v>
      </x:c>
      <x:c r="C36" s="54" t="str">
        <x:v>Om Prakash</x:v>
      </x:c>
      <x:c r="D36" s="54" t="str">
        <x:v>DOCTOR</x:v>
      </x:c>
      <x:c r="E36" s="54" t="str">
        <x:v>Trauma Care</x:v>
      </x:c>
      <x:c r="F36" s="54" t="str">
        <x:v>DEMO-MED-405</x:v>
      </x:c>
      <x:c r="G36" s="54" t="str">
        <x:v>ROTATING</x:v>
      </x:c>
      <x:c r="H36" s="55" t="b">
        <x:v>1</x:v>
      </x:c>
      <x:c r="I36" s="55" t="b">
        <x:v>1</x:v>
      </x:c>
    </x:row>
    <x:row r="37" ht="28" customHeight="1">
      <x:c r="A37" s="54" t="str">
        <x:v>HSP-004-N01</x:v>
      </x:c>
      <x:c r="B37" s="54" t="str">
        <x:v>HSP-004</x:v>
      </x:c>
      <x:c r="C37" s="54" t="str">
        <x:v>Pooja Naidu</x:v>
      </x:c>
      <x:c r="D37" s="54" t="str">
        <x:v>NURSE</x:v>
      </x:c>
      <x:c r="E37" s="54" t="str">
        <x:v>Triage Nursing</x:v>
      </x:c>
      <x:c r="F37" s="54" t="str">
        <x:v>DEMO-NUR-401</x:v>
      </x:c>
      <x:c r="G37" s="54" t="str">
        <x:v>MORNING</x:v>
      </x:c>
      <x:c r="H37" s="55" t="b">
        <x:v>1</x:v>
      </x:c>
      <x:c r="I37" s="55" t="b">
        <x:v>1</x:v>
      </x:c>
    </x:row>
    <x:row r="38" ht="28" customHeight="1">
      <x:c r="A38" s="54" t="str">
        <x:v>HSP-004-N02</x:v>
      </x:c>
      <x:c r="B38" s="54" t="str">
        <x:v>HSP-004</x:v>
      </x:c>
      <x:c r="C38" s="54" t="str">
        <x:v>Qadir Hussain</x:v>
      </x:c>
      <x:c r="D38" s="54" t="str">
        <x:v>NURSE</x:v>
      </x:c>
      <x:c r="E38" s="54" t="str">
        <x:v>General Nursing</x:v>
      </x:c>
      <x:c r="F38" s="54" t="str">
        <x:v>DEMO-NUR-402</x:v>
      </x:c>
      <x:c r="G38" s="54" t="str">
        <x:v>ROTATING</x:v>
      </x:c>
      <x:c r="H38" s="55" t="b">
        <x:v>1</x:v>
      </x:c>
      <x:c r="I38" s="55" t="b">
        <x:v>1</x:v>
      </x:c>
    </x:row>
    <x:row r="39" ht="28" customHeight="1">
      <x:c r="A39" s="54" t="str">
        <x:v>HSP-004-N03</x:v>
      </x:c>
      <x:c r="B39" s="54" t="str">
        <x:v>HSP-004</x:v>
      </x:c>
      <x:c r="C39" s="54" t="str">
        <x:v>Ritu Anand</x:v>
      </x:c>
      <x:c r="D39" s="54" t="str">
        <x:v>NURSE</x:v>
      </x:c>
      <x:c r="E39" s="54" t="str">
        <x:v>General Nursing</x:v>
      </x:c>
      <x:c r="F39" s="54" t="str">
        <x:v>DEMO-NUR-403</x:v>
      </x:c>
      <x:c r="G39" s="54" t="str">
        <x:v>ROTATING</x:v>
      </x:c>
      <x:c r="H39" s="55" t="b">
        <x:v>1</x:v>
      </x:c>
      <x:c r="I39" s="55" t="b">
        <x:v>1</x:v>
      </x:c>
    </x:row>
    <x:row r="40" ht="28" customHeight="1">
      <x:c r="A40" s="54" t="str">
        <x:v>HSP-004-R01</x:v>
      </x:c>
      <x:c r="B40" s="54" t="str">
        <x:v>HSP-004</x:v>
      </x:c>
      <x:c r="C40" s="54" t="str">
        <x:v>Sameer Walia</x:v>
      </x:c>
      <x:c r="D40" s="54" t="str">
        <x:v>RECEPTIONIST</x:v>
      </x:c>
      <x:c r="E40" s="54" t="str">
        <x:v>Front Desk</x:v>
      </x:c>
      <x:c r="F40" s="54"/>
      <x:c r="G40" s="54" t="str">
        <x:v>MORNING</x:v>
      </x:c>
      <x:c r="H40" s="55" t="b">
        <x:v>1</x:v>
      </x:c>
      <x:c r="I40" s="55" t="b">
        <x:v>1</x:v>
      </x:c>
    </x:row>
    <x:row r="41" ht="28" customHeight="1">
      <x:c r="A41" s="56" t="str">
        <x:v>HSP-004-R02</x:v>
      </x:c>
      <x:c r="B41" s="56" t="str">
        <x:v>HSP-004</x:v>
      </x:c>
      <x:c r="C41" s="56" t="str">
        <x:v>Tanvi Ghosh</x:v>
      </x:c>
      <x:c r="D41" s="56" t="str">
        <x:v>RECEPTIONIST</x:v>
      </x:c>
      <x:c r="E41" s="56" t="str">
        <x:v>Front Desk</x:v>
      </x:c>
      <x:c r="F41" s="56"/>
      <x:c r="G41" s="56" t="str">
        <x:v>ROTATING</x:v>
      </x:c>
      <x:c r="H41" s="57" t="b">
        <x:v>1</x:v>
      </x:c>
      <x:c r="I41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6b12deaa99240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8" hidden="0" customWidth="1"/>
  </x:cols>
  <x:sheetData>
    <x:row r="1" ht="34" customHeight="1">
      <x:c r="A1" s="53" t="str">
        <x:v>staff_ward_assignment_id</x:v>
      </x:c>
      <x:c r="B1" s="53" t="str">
        <x:v>staff_id</x:v>
      </x:c>
      <x:c r="C1" s="53" t="str">
        <x:v>ward_id</x:v>
      </x:c>
      <x:c r="D1" s="53" t="str">
        <x:v>assignment_type</x:v>
      </x:c>
      <x:c r="E1" s="53" t="str">
        <x:v>is_active</x:v>
      </x:c>
    </x:row>
    <x:row r="2" ht="28" customHeight="1">
      <x:c r="A2" s="54" t="str">
        <x:v>SWA-HSP-001-D01-01</x:v>
      </x:c>
      <x:c r="B2" s="54" t="str">
        <x:v>HSP-001-D01</x:v>
      </x:c>
      <x:c r="C2" s="54" t="str">
        <x:v>HSP-001-W01</x:v>
      </x:c>
      <x:c r="D2" s="54" t="str">
        <x:v>PRIMARY</x:v>
      </x:c>
      <x:c r="E2" s="55" t="b">
        <x:v>1</x:v>
      </x:c>
    </x:row>
    <x:row r="3" ht="28" customHeight="1">
      <x:c r="A3" s="54" t="str">
        <x:v>SWA-HSP-001-D02-01</x:v>
      </x:c>
      <x:c r="B3" s="54" t="str">
        <x:v>HSP-001-D02</x:v>
      </x:c>
      <x:c r="C3" s="54" t="str">
        <x:v>HSP-001-W01</x:v>
      </x:c>
      <x:c r="D3" s="54" t="str">
        <x:v>PRIMARY</x:v>
      </x:c>
      <x:c r="E3" s="55" t="b">
        <x:v>1</x:v>
      </x:c>
    </x:row>
    <x:row r="4" ht="28" customHeight="1">
      <x:c r="A4" s="54" t="str">
        <x:v>SWA-HSP-001-D02-02</x:v>
      </x:c>
      <x:c r="B4" s="54" t="str">
        <x:v>HSP-001-D02</x:v>
      </x:c>
      <x:c r="C4" s="54" t="str">
        <x:v>HSP-001-W02</x:v>
      </x:c>
      <x:c r="D4" s="54" t="str">
        <x:v>SECONDARY</x:v>
      </x:c>
      <x:c r="E4" s="55" t="b">
        <x:v>1</x:v>
      </x:c>
    </x:row>
    <x:row r="5" ht="28" customHeight="1">
      <x:c r="A5" s="54" t="str">
        <x:v>SWA-HSP-001-D03-01</x:v>
      </x:c>
      <x:c r="B5" s="54" t="str">
        <x:v>HSP-001-D03</x:v>
      </x:c>
      <x:c r="C5" s="54" t="str">
        <x:v>HSP-001-W01</x:v>
      </x:c>
      <x:c r="D5" s="54" t="str">
        <x:v>PRIMARY</x:v>
      </x:c>
      <x:c r="E5" s="55" t="b">
        <x:v>1</x:v>
      </x:c>
    </x:row>
    <x:row r="6" ht="28" customHeight="1">
      <x:c r="A6" s="54" t="str">
        <x:v>SWA-HSP-001-D03-02</x:v>
      </x:c>
      <x:c r="B6" s="54" t="str">
        <x:v>HSP-001-D03</x:v>
      </x:c>
      <x:c r="C6" s="54" t="str">
        <x:v>HSP-001-W03</x:v>
      </x:c>
      <x:c r="D6" s="54" t="str">
        <x:v>SECONDARY</x:v>
      </x:c>
      <x:c r="E6" s="55" t="b">
        <x:v>1</x:v>
      </x:c>
    </x:row>
    <x:row r="7" ht="28" customHeight="1">
      <x:c r="A7" s="54" t="str">
        <x:v>SWA-HSP-001-D04-01</x:v>
      </x:c>
      <x:c r="B7" s="54" t="str">
        <x:v>HSP-001-D04</x:v>
      </x:c>
      <x:c r="C7" s="54" t="str">
        <x:v>HSP-001-W01</x:v>
      </x:c>
      <x:c r="D7" s="54" t="str">
        <x:v>PRIMARY</x:v>
      </x:c>
      <x:c r="E7" s="55" t="b">
        <x:v>1</x:v>
      </x:c>
    </x:row>
    <x:row r="8" ht="28" customHeight="1">
      <x:c r="A8" s="54" t="str">
        <x:v>SWA-HSP-001-D04-02</x:v>
      </x:c>
      <x:c r="B8" s="54" t="str">
        <x:v>HSP-001-D04</x:v>
      </x:c>
      <x:c r="C8" s="54" t="str">
        <x:v>HSP-001-W04</x:v>
      </x:c>
      <x:c r="D8" s="54" t="str">
        <x:v>SECONDARY</x:v>
      </x:c>
      <x:c r="E8" s="55" t="b">
        <x:v>1</x:v>
      </x:c>
    </x:row>
    <x:row r="9" ht="28" customHeight="1">
      <x:c r="A9" s="54" t="str">
        <x:v>SWA-HSP-001-D05-01</x:v>
      </x:c>
      <x:c r="B9" s="54" t="str">
        <x:v>HSP-001-D05</x:v>
      </x:c>
      <x:c r="C9" s="54" t="str">
        <x:v>HSP-001-W01</x:v>
      </x:c>
      <x:c r="D9" s="54" t="str">
        <x:v>PRIMARY</x:v>
      </x:c>
      <x:c r="E9" s="55" t="b">
        <x:v>1</x:v>
      </x:c>
    </x:row>
    <x:row r="10" ht="28" customHeight="1">
      <x:c r="A10" s="54" t="str">
        <x:v>SWA-HSP-001-D05-02</x:v>
      </x:c>
      <x:c r="B10" s="54" t="str">
        <x:v>HSP-001-D05</x:v>
      </x:c>
      <x:c r="C10" s="54" t="str">
        <x:v>HSP-001-W05</x:v>
      </x:c>
      <x:c r="D10" s="54" t="str">
        <x:v>SECONDARY</x:v>
      </x:c>
      <x:c r="E10" s="55" t="b">
        <x:v>1</x:v>
      </x:c>
    </x:row>
    <x:row r="11" ht="28" customHeight="1">
      <x:c r="A11" s="54" t="str">
        <x:v>SWA-HSP-001-N01-01</x:v>
      </x:c>
      <x:c r="B11" s="54" t="str">
        <x:v>HSP-001-N01</x:v>
      </x:c>
      <x:c r="C11" s="54" t="str">
        <x:v>HSP-001-W01</x:v>
      </x:c>
      <x:c r="D11" s="54" t="str">
        <x:v>PRIMARY</x:v>
      </x:c>
      <x:c r="E11" s="55" t="b">
        <x:v>1</x:v>
      </x:c>
    </x:row>
    <x:row r="12" ht="28" customHeight="1">
      <x:c r="A12" s="54" t="str">
        <x:v>SWA-HSP-001-N02-01</x:v>
      </x:c>
      <x:c r="B12" s="54" t="str">
        <x:v>HSP-001-N02</x:v>
      </x:c>
      <x:c r="C12" s="54" t="str">
        <x:v>HSP-001-W01</x:v>
      </x:c>
      <x:c r="D12" s="54" t="str">
        <x:v>PRIMARY</x:v>
      </x:c>
      <x:c r="E12" s="55" t="b">
        <x:v>1</x:v>
      </x:c>
    </x:row>
    <x:row r="13" ht="28" customHeight="1">
      <x:c r="A13" s="54" t="str">
        <x:v>SWA-HSP-001-N02-02</x:v>
      </x:c>
      <x:c r="B13" s="54" t="str">
        <x:v>HSP-001-N02</x:v>
      </x:c>
      <x:c r="C13" s="54" t="str">
        <x:v>HSP-001-W02</x:v>
      </x:c>
      <x:c r="D13" s="54" t="str">
        <x:v>SECONDARY</x:v>
      </x:c>
      <x:c r="E13" s="55" t="b">
        <x:v>1</x:v>
      </x:c>
    </x:row>
    <x:row r="14" ht="28" customHeight="1">
      <x:c r="A14" s="54" t="str">
        <x:v>SWA-HSP-001-N03-01</x:v>
      </x:c>
      <x:c r="B14" s="54" t="str">
        <x:v>HSP-001-N03</x:v>
      </x:c>
      <x:c r="C14" s="54" t="str">
        <x:v>HSP-001-W01</x:v>
      </x:c>
      <x:c r="D14" s="54" t="str">
        <x:v>PRIMARY</x:v>
      </x:c>
      <x:c r="E14" s="55" t="b">
        <x:v>1</x:v>
      </x:c>
    </x:row>
    <x:row r="15" ht="28" customHeight="1">
      <x:c r="A15" s="54" t="str">
        <x:v>SWA-HSP-001-N03-02</x:v>
      </x:c>
      <x:c r="B15" s="54" t="str">
        <x:v>HSP-001-N03</x:v>
      </x:c>
      <x:c r="C15" s="54" t="str">
        <x:v>HSP-001-W03</x:v>
      </x:c>
      <x:c r="D15" s="54" t="str">
        <x:v>SECONDARY</x:v>
      </x:c>
      <x:c r="E15" s="55" t="b">
        <x:v>1</x:v>
      </x:c>
    </x:row>
    <x:row r="16" ht="28" customHeight="1">
      <x:c r="A16" s="54" t="str">
        <x:v>SWA-HSP-001-R01-01</x:v>
      </x:c>
      <x:c r="B16" s="54" t="str">
        <x:v>HSP-001-R01</x:v>
      </x:c>
      <x:c r="C16" s="54" t="str">
        <x:v>HSP-001-W01</x:v>
      </x:c>
      <x:c r="D16" s="54" t="str">
        <x:v>PRIMARY</x:v>
      </x:c>
      <x:c r="E16" s="55" t="b">
        <x:v>1</x:v>
      </x:c>
    </x:row>
    <x:row r="17" ht="28" customHeight="1">
      <x:c r="A17" s="54" t="str">
        <x:v>SWA-HSP-001-R02-01</x:v>
      </x:c>
      <x:c r="B17" s="54" t="str">
        <x:v>HSP-001-R02</x:v>
      </x:c>
      <x:c r="C17" s="54" t="str">
        <x:v>HSP-001-W01</x:v>
      </x:c>
      <x:c r="D17" s="54" t="str">
        <x:v>PRIMARY</x:v>
      </x:c>
      <x:c r="E17" s="55" t="b">
        <x:v>1</x:v>
      </x:c>
    </x:row>
    <x:row r="18" ht="28" customHeight="1">
      <x:c r="A18" s="54" t="str">
        <x:v>SWA-HSP-002-D01-01</x:v>
      </x:c>
      <x:c r="B18" s="54" t="str">
        <x:v>HSP-002-D01</x:v>
      </x:c>
      <x:c r="C18" s="54" t="str">
        <x:v>HSP-002-W01</x:v>
      </x:c>
      <x:c r="D18" s="54" t="str">
        <x:v>PRIMARY</x:v>
      </x:c>
      <x:c r="E18" s="55" t="b">
        <x:v>1</x:v>
      </x:c>
    </x:row>
    <x:row r="19" ht="28" customHeight="1">
      <x:c r="A19" s="54" t="str">
        <x:v>SWA-HSP-002-D02-01</x:v>
      </x:c>
      <x:c r="B19" s="54" t="str">
        <x:v>HSP-002-D02</x:v>
      </x:c>
      <x:c r="C19" s="54" t="str">
        <x:v>HSP-002-W01</x:v>
      </x:c>
      <x:c r="D19" s="54" t="str">
        <x:v>PRIMARY</x:v>
      </x:c>
      <x:c r="E19" s="55" t="b">
        <x:v>1</x:v>
      </x:c>
    </x:row>
    <x:row r="20" ht="28" customHeight="1">
      <x:c r="A20" s="54" t="str">
        <x:v>SWA-HSP-002-D02-02</x:v>
      </x:c>
      <x:c r="B20" s="54" t="str">
        <x:v>HSP-002-D02</x:v>
      </x:c>
      <x:c r="C20" s="54" t="str">
        <x:v>HSP-002-W02</x:v>
      </x:c>
      <x:c r="D20" s="54" t="str">
        <x:v>SECONDARY</x:v>
      </x:c>
      <x:c r="E20" s="55" t="b">
        <x:v>1</x:v>
      </x:c>
    </x:row>
    <x:row r="21" ht="28" customHeight="1">
      <x:c r="A21" s="54" t="str">
        <x:v>SWA-HSP-002-D03-01</x:v>
      </x:c>
      <x:c r="B21" s="54" t="str">
        <x:v>HSP-002-D03</x:v>
      </x:c>
      <x:c r="C21" s="54" t="str">
        <x:v>HSP-002-W01</x:v>
      </x:c>
      <x:c r="D21" s="54" t="str">
        <x:v>PRIMARY</x:v>
      </x:c>
      <x:c r="E21" s="55" t="b">
        <x:v>1</x:v>
      </x:c>
    </x:row>
    <x:row r="22" ht="28" customHeight="1">
      <x:c r="A22" s="54" t="str">
        <x:v>SWA-HSP-002-D03-02</x:v>
      </x:c>
      <x:c r="B22" s="54" t="str">
        <x:v>HSP-002-D03</x:v>
      </x:c>
      <x:c r="C22" s="54" t="str">
        <x:v>HSP-002-W03</x:v>
      </x:c>
      <x:c r="D22" s="54" t="str">
        <x:v>SECONDARY</x:v>
      </x:c>
      <x:c r="E22" s="55" t="b">
        <x:v>1</x:v>
      </x:c>
    </x:row>
    <x:row r="23" ht="28" customHeight="1">
      <x:c r="A23" s="54" t="str">
        <x:v>SWA-HSP-002-D04-01</x:v>
      </x:c>
      <x:c r="B23" s="54" t="str">
        <x:v>HSP-002-D04</x:v>
      </x:c>
      <x:c r="C23" s="54" t="str">
        <x:v>HSP-002-W01</x:v>
      </x:c>
      <x:c r="D23" s="54" t="str">
        <x:v>PRIMARY</x:v>
      </x:c>
      <x:c r="E23" s="55" t="b">
        <x:v>1</x:v>
      </x:c>
    </x:row>
    <x:row r="24" ht="28" customHeight="1">
      <x:c r="A24" s="54" t="str">
        <x:v>SWA-HSP-002-D04-02</x:v>
      </x:c>
      <x:c r="B24" s="54" t="str">
        <x:v>HSP-002-D04</x:v>
      </x:c>
      <x:c r="C24" s="54" t="str">
        <x:v>HSP-002-W04</x:v>
      </x:c>
      <x:c r="D24" s="54" t="str">
        <x:v>SECONDARY</x:v>
      </x:c>
      <x:c r="E24" s="55" t="b">
        <x:v>1</x:v>
      </x:c>
    </x:row>
    <x:row r="25" ht="28" customHeight="1">
      <x:c r="A25" s="54" t="str">
        <x:v>SWA-HSP-002-D05-01</x:v>
      </x:c>
      <x:c r="B25" s="54" t="str">
        <x:v>HSP-002-D05</x:v>
      </x:c>
      <x:c r="C25" s="54" t="str">
        <x:v>HSP-002-W01</x:v>
      </x:c>
      <x:c r="D25" s="54" t="str">
        <x:v>PRIMARY</x:v>
      </x:c>
      <x:c r="E25" s="55" t="b">
        <x:v>1</x:v>
      </x:c>
    </x:row>
    <x:row r="26" ht="28" customHeight="1">
      <x:c r="A26" s="54" t="str">
        <x:v>SWA-HSP-002-D05-02</x:v>
      </x:c>
      <x:c r="B26" s="54" t="str">
        <x:v>HSP-002-D05</x:v>
      </x:c>
      <x:c r="C26" s="54" t="str">
        <x:v>HSP-002-W05</x:v>
      </x:c>
      <x:c r="D26" s="54" t="str">
        <x:v>SECONDARY</x:v>
      </x:c>
      <x:c r="E26" s="55" t="b">
        <x:v>1</x:v>
      </x:c>
    </x:row>
    <x:row r="27" ht="28" customHeight="1">
      <x:c r="A27" s="54" t="str">
        <x:v>SWA-HSP-002-N01-01</x:v>
      </x:c>
      <x:c r="B27" s="54" t="str">
        <x:v>HSP-002-N01</x:v>
      </x:c>
      <x:c r="C27" s="54" t="str">
        <x:v>HSP-002-W01</x:v>
      </x:c>
      <x:c r="D27" s="54" t="str">
        <x:v>PRIMARY</x:v>
      </x:c>
      <x:c r="E27" s="55" t="b">
        <x:v>1</x:v>
      </x:c>
    </x:row>
    <x:row r="28" ht="28" customHeight="1">
      <x:c r="A28" s="54" t="str">
        <x:v>SWA-HSP-002-N02-01</x:v>
      </x:c>
      <x:c r="B28" s="54" t="str">
        <x:v>HSP-002-N02</x:v>
      </x:c>
      <x:c r="C28" s="54" t="str">
        <x:v>HSP-002-W01</x:v>
      </x:c>
      <x:c r="D28" s="54" t="str">
        <x:v>PRIMARY</x:v>
      </x:c>
      <x:c r="E28" s="55" t="b">
        <x:v>1</x:v>
      </x:c>
    </x:row>
    <x:row r="29" ht="28" customHeight="1">
      <x:c r="A29" s="54" t="str">
        <x:v>SWA-HSP-002-N02-02</x:v>
      </x:c>
      <x:c r="B29" s="54" t="str">
        <x:v>HSP-002-N02</x:v>
      </x:c>
      <x:c r="C29" s="54" t="str">
        <x:v>HSP-002-W02</x:v>
      </x:c>
      <x:c r="D29" s="54" t="str">
        <x:v>SECONDARY</x:v>
      </x:c>
      <x:c r="E29" s="55" t="b">
        <x:v>1</x:v>
      </x:c>
    </x:row>
    <x:row r="30" ht="28" customHeight="1">
      <x:c r="A30" s="54" t="str">
        <x:v>SWA-HSP-002-N03-01</x:v>
      </x:c>
      <x:c r="B30" s="54" t="str">
        <x:v>HSP-002-N03</x:v>
      </x:c>
      <x:c r="C30" s="54" t="str">
        <x:v>HSP-002-W01</x:v>
      </x:c>
      <x:c r="D30" s="54" t="str">
        <x:v>PRIMARY</x:v>
      </x:c>
      <x:c r="E30" s="55" t="b">
        <x:v>1</x:v>
      </x:c>
    </x:row>
    <x:row r="31" ht="28" customHeight="1">
      <x:c r="A31" s="54" t="str">
        <x:v>SWA-HSP-002-N03-02</x:v>
      </x:c>
      <x:c r="B31" s="54" t="str">
        <x:v>HSP-002-N03</x:v>
      </x:c>
      <x:c r="C31" s="54" t="str">
        <x:v>HSP-002-W03</x:v>
      </x:c>
      <x:c r="D31" s="54" t="str">
        <x:v>SECONDARY</x:v>
      </x:c>
      <x:c r="E31" s="55" t="b">
        <x:v>1</x:v>
      </x:c>
    </x:row>
    <x:row r="32" ht="28" customHeight="1">
      <x:c r="A32" s="54" t="str">
        <x:v>SWA-HSP-002-R01-01</x:v>
      </x:c>
      <x:c r="B32" s="54" t="str">
        <x:v>HSP-002-R01</x:v>
      </x:c>
      <x:c r="C32" s="54" t="str">
        <x:v>HSP-002-W01</x:v>
      </x:c>
      <x:c r="D32" s="54" t="str">
        <x:v>PRIMARY</x:v>
      </x:c>
      <x:c r="E32" s="55" t="b">
        <x:v>1</x:v>
      </x:c>
    </x:row>
    <x:row r="33" ht="28" customHeight="1">
      <x:c r="A33" s="54" t="str">
        <x:v>SWA-HSP-002-R02-01</x:v>
      </x:c>
      <x:c r="B33" s="54" t="str">
        <x:v>HSP-002-R02</x:v>
      </x:c>
      <x:c r="C33" s="54" t="str">
        <x:v>HSP-002-W01</x:v>
      </x:c>
      <x:c r="D33" s="54" t="str">
        <x:v>PRIMARY</x:v>
      </x:c>
      <x:c r="E33" s="55" t="b">
        <x:v>1</x:v>
      </x:c>
    </x:row>
    <x:row r="34" ht="28" customHeight="1">
      <x:c r="A34" s="54" t="str">
        <x:v>SWA-HSP-003-D01-01</x:v>
      </x:c>
      <x:c r="B34" s="54" t="str">
        <x:v>HSP-003-D01</x:v>
      </x:c>
      <x:c r="C34" s="54" t="str">
        <x:v>HSP-003-W01</x:v>
      </x:c>
      <x:c r="D34" s="54" t="str">
        <x:v>PRIMARY</x:v>
      </x:c>
      <x:c r="E34" s="55" t="b">
        <x:v>1</x:v>
      </x:c>
    </x:row>
    <x:row r="35" ht="28" customHeight="1">
      <x:c r="A35" s="54" t="str">
        <x:v>SWA-HSP-003-D02-01</x:v>
      </x:c>
      <x:c r="B35" s="54" t="str">
        <x:v>HSP-003-D02</x:v>
      </x:c>
      <x:c r="C35" s="54" t="str">
        <x:v>HSP-003-W01</x:v>
      </x:c>
      <x:c r="D35" s="54" t="str">
        <x:v>PRIMARY</x:v>
      </x:c>
      <x:c r="E35" s="55" t="b">
        <x:v>1</x:v>
      </x:c>
    </x:row>
    <x:row r="36" ht="28" customHeight="1">
      <x:c r="A36" s="54" t="str">
        <x:v>SWA-HSP-003-D02-02</x:v>
      </x:c>
      <x:c r="B36" s="54" t="str">
        <x:v>HSP-003-D02</x:v>
      </x:c>
      <x:c r="C36" s="54" t="str">
        <x:v>HSP-003-W02</x:v>
      </x:c>
      <x:c r="D36" s="54" t="str">
        <x:v>SECONDARY</x:v>
      </x:c>
      <x:c r="E36" s="55" t="b">
        <x:v>1</x:v>
      </x:c>
    </x:row>
    <x:row r="37" ht="28" customHeight="1">
      <x:c r="A37" s="54" t="str">
        <x:v>SWA-HSP-003-D03-01</x:v>
      </x:c>
      <x:c r="B37" s="54" t="str">
        <x:v>HSP-003-D03</x:v>
      </x:c>
      <x:c r="C37" s="54" t="str">
        <x:v>HSP-003-W01</x:v>
      </x:c>
      <x:c r="D37" s="54" t="str">
        <x:v>PRIMARY</x:v>
      </x:c>
      <x:c r="E37" s="55" t="b">
        <x:v>1</x:v>
      </x:c>
    </x:row>
    <x:row r="38" ht="28" customHeight="1">
      <x:c r="A38" s="54" t="str">
        <x:v>SWA-HSP-003-D03-02</x:v>
      </x:c>
      <x:c r="B38" s="54" t="str">
        <x:v>HSP-003-D03</x:v>
      </x:c>
      <x:c r="C38" s="54" t="str">
        <x:v>HSP-003-W03</x:v>
      </x:c>
      <x:c r="D38" s="54" t="str">
        <x:v>SECONDARY</x:v>
      </x:c>
      <x:c r="E38" s="55" t="b">
        <x:v>1</x:v>
      </x:c>
    </x:row>
    <x:row r="39" ht="28" customHeight="1">
      <x:c r="A39" s="54" t="str">
        <x:v>SWA-HSP-003-D04-01</x:v>
      </x:c>
      <x:c r="B39" s="54" t="str">
        <x:v>HSP-003-D04</x:v>
      </x:c>
      <x:c r="C39" s="54" t="str">
        <x:v>HSP-003-W01</x:v>
      </x:c>
      <x:c r="D39" s="54" t="str">
        <x:v>PRIMARY</x:v>
      </x:c>
      <x:c r="E39" s="55" t="b">
        <x:v>1</x:v>
      </x:c>
    </x:row>
    <x:row r="40" ht="28" customHeight="1">
      <x:c r="A40" s="54" t="str">
        <x:v>SWA-HSP-003-D04-02</x:v>
      </x:c>
      <x:c r="B40" s="54" t="str">
        <x:v>HSP-003-D04</x:v>
      </x:c>
      <x:c r="C40" s="54" t="str">
        <x:v>HSP-003-W04</x:v>
      </x:c>
      <x:c r="D40" s="54" t="str">
        <x:v>SECONDARY</x:v>
      </x:c>
      <x:c r="E40" s="55" t="b">
        <x:v>1</x:v>
      </x:c>
    </x:row>
    <x:row r="41" ht="28" customHeight="1">
      <x:c r="A41" s="54" t="str">
        <x:v>SWA-HSP-003-D05-01</x:v>
      </x:c>
      <x:c r="B41" s="54" t="str">
        <x:v>HSP-003-D05</x:v>
      </x:c>
      <x:c r="C41" s="54" t="str">
        <x:v>HSP-003-W01</x:v>
      </x:c>
      <x:c r="D41" s="54" t="str">
        <x:v>PRIMARY</x:v>
      </x:c>
      <x:c r="E41" s="55" t="b">
        <x:v>1</x:v>
      </x:c>
    </x:row>
    <x:row r="42" ht="28" customHeight="1">
      <x:c r="A42" s="54" t="str">
        <x:v>SWA-HSP-003-D05-02</x:v>
      </x:c>
      <x:c r="B42" s="54" t="str">
        <x:v>HSP-003-D05</x:v>
      </x:c>
      <x:c r="C42" s="54" t="str">
        <x:v>HSP-003-W05</x:v>
      </x:c>
      <x:c r="D42" s="54" t="str">
        <x:v>SECONDARY</x:v>
      </x:c>
      <x:c r="E42" s="55" t="b">
        <x:v>1</x:v>
      </x:c>
    </x:row>
    <x:row r="43" ht="28" customHeight="1">
      <x:c r="A43" s="54" t="str">
        <x:v>SWA-HSP-003-N01-01</x:v>
      </x:c>
      <x:c r="B43" s="54" t="str">
        <x:v>HSP-003-N01</x:v>
      </x:c>
      <x:c r="C43" s="54" t="str">
        <x:v>HSP-003-W01</x:v>
      </x:c>
      <x:c r="D43" s="54" t="str">
        <x:v>PRIMARY</x:v>
      </x:c>
      <x:c r="E43" s="55" t="b">
        <x:v>1</x:v>
      </x:c>
    </x:row>
    <x:row r="44" ht="28" customHeight="1">
      <x:c r="A44" s="54" t="str">
        <x:v>SWA-HSP-003-N02-01</x:v>
      </x:c>
      <x:c r="B44" s="54" t="str">
        <x:v>HSP-003-N02</x:v>
      </x:c>
      <x:c r="C44" s="54" t="str">
        <x:v>HSP-003-W01</x:v>
      </x:c>
      <x:c r="D44" s="54" t="str">
        <x:v>PRIMARY</x:v>
      </x:c>
      <x:c r="E44" s="55" t="b">
        <x:v>1</x:v>
      </x:c>
    </x:row>
    <x:row r="45" ht="28" customHeight="1">
      <x:c r="A45" s="54" t="str">
        <x:v>SWA-HSP-003-N02-02</x:v>
      </x:c>
      <x:c r="B45" s="54" t="str">
        <x:v>HSP-003-N02</x:v>
      </x:c>
      <x:c r="C45" s="54" t="str">
        <x:v>HSP-003-W02</x:v>
      </x:c>
      <x:c r="D45" s="54" t="str">
        <x:v>SECONDARY</x:v>
      </x:c>
      <x:c r="E45" s="55" t="b">
        <x:v>1</x:v>
      </x:c>
    </x:row>
    <x:row r="46" ht="28" customHeight="1">
      <x:c r="A46" s="54" t="str">
        <x:v>SWA-HSP-003-N03-01</x:v>
      </x:c>
      <x:c r="B46" s="54" t="str">
        <x:v>HSP-003-N03</x:v>
      </x:c>
      <x:c r="C46" s="54" t="str">
        <x:v>HSP-003-W01</x:v>
      </x:c>
      <x:c r="D46" s="54" t="str">
        <x:v>PRIMARY</x:v>
      </x:c>
      <x:c r="E46" s="55" t="b">
        <x:v>1</x:v>
      </x:c>
    </x:row>
    <x:row r="47" ht="28" customHeight="1">
      <x:c r="A47" s="54" t="str">
        <x:v>SWA-HSP-003-N03-02</x:v>
      </x:c>
      <x:c r="B47" s="54" t="str">
        <x:v>HSP-003-N03</x:v>
      </x:c>
      <x:c r="C47" s="54" t="str">
        <x:v>HSP-003-W03</x:v>
      </x:c>
      <x:c r="D47" s="54" t="str">
        <x:v>SECONDARY</x:v>
      </x:c>
      <x:c r="E47" s="55" t="b">
        <x:v>1</x:v>
      </x:c>
    </x:row>
    <x:row r="48" ht="28" customHeight="1">
      <x:c r="A48" s="54" t="str">
        <x:v>SWA-HSP-003-R01-01</x:v>
      </x:c>
      <x:c r="B48" s="54" t="str">
        <x:v>HSP-003-R01</x:v>
      </x:c>
      <x:c r="C48" s="54" t="str">
        <x:v>HSP-003-W01</x:v>
      </x:c>
      <x:c r="D48" s="54" t="str">
        <x:v>PRIMARY</x:v>
      </x:c>
      <x:c r="E48" s="55" t="b">
        <x:v>1</x:v>
      </x:c>
    </x:row>
    <x:row r="49" ht="28" customHeight="1">
      <x:c r="A49" s="54" t="str">
        <x:v>SWA-HSP-003-R02-01</x:v>
      </x:c>
      <x:c r="B49" s="54" t="str">
        <x:v>HSP-003-R02</x:v>
      </x:c>
      <x:c r="C49" s="54" t="str">
        <x:v>HSP-003-W01</x:v>
      </x:c>
      <x:c r="D49" s="54" t="str">
        <x:v>PRIMARY</x:v>
      </x:c>
      <x:c r="E49" s="55" t="b">
        <x:v>1</x:v>
      </x:c>
    </x:row>
    <x:row r="50" ht="28" customHeight="1">
      <x:c r="A50" s="54" t="str">
        <x:v>SWA-HSP-004-D01-01</x:v>
      </x:c>
      <x:c r="B50" s="54" t="str">
        <x:v>HSP-004-D01</x:v>
      </x:c>
      <x:c r="C50" s="54" t="str">
        <x:v>HSP-004-W01</x:v>
      </x:c>
      <x:c r="D50" s="54" t="str">
        <x:v>PRIMARY</x:v>
      </x:c>
      <x:c r="E50" s="55" t="b">
        <x:v>1</x:v>
      </x:c>
    </x:row>
    <x:row r="51" ht="28" customHeight="1">
      <x:c r="A51" s="54" t="str">
        <x:v>SWA-HSP-004-D02-01</x:v>
      </x:c>
      <x:c r="B51" s="54" t="str">
        <x:v>HSP-004-D02</x:v>
      </x:c>
      <x:c r="C51" s="54" t="str">
        <x:v>HSP-004-W01</x:v>
      </x:c>
      <x:c r="D51" s="54" t="str">
        <x:v>PRIMARY</x:v>
      </x:c>
      <x:c r="E51" s="55" t="b">
        <x:v>1</x:v>
      </x:c>
    </x:row>
    <x:row r="52" ht="28" customHeight="1">
      <x:c r="A52" s="54" t="str">
        <x:v>SWA-HSP-004-D02-02</x:v>
      </x:c>
      <x:c r="B52" s="54" t="str">
        <x:v>HSP-004-D02</x:v>
      </x:c>
      <x:c r="C52" s="54" t="str">
        <x:v>HSP-004-W02</x:v>
      </x:c>
      <x:c r="D52" s="54" t="str">
        <x:v>SECONDARY</x:v>
      </x:c>
      <x:c r="E52" s="55" t="b">
        <x:v>1</x:v>
      </x:c>
    </x:row>
    <x:row r="53" ht="28" customHeight="1">
      <x:c r="A53" s="54" t="str">
        <x:v>SWA-HSP-004-D03-01</x:v>
      </x:c>
      <x:c r="B53" s="54" t="str">
        <x:v>HSP-004-D03</x:v>
      </x:c>
      <x:c r="C53" s="54" t="str">
        <x:v>HSP-004-W01</x:v>
      </x:c>
      <x:c r="D53" s="54" t="str">
        <x:v>PRIMARY</x:v>
      </x:c>
      <x:c r="E53" s="55" t="b">
        <x:v>1</x:v>
      </x:c>
    </x:row>
    <x:row r="54" ht="28" customHeight="1">
      <x:c r="A54" s="54" t="str">
        <x:v>SWA-HSP-004-D03-02</x:v>
      </x:c>
      <x:c r="B54" s="54" t="str">
        <x:v>HSP-004-D03</x:v>
      </x:c>
      <x:c r="C54" s="54" t="str">
        <x:v>HSP-004-W03</x:v>
      </x:c>
      <x:c r="D54" s="54" t="str">
        <x:v>SECONDARY</x:v>
      </x:c>
      <x:c r="E54" s="55" t="b">
        <x:v>1</x:v>
      </x:c>
    </x:row>
    <x:row r="55" ht="28" customHeight="1">
      <x:c r="A55" s="54" t="str">
        <x:v>SWA-HSP-004-D04-01</x:v>
      </x:c>
      <x:c r="B55" s="54" t="str">
        <x:v>HSP-004-D04</x:v>
      </x:c>
      <x:c r="C55" s="54" t="str">
        <x:v>HSP-004-W01</x:v>
      </x:c>
      <x:c r="D55" s="54" t="str">
        <x:v>PRIMARY</x:v>
      </x:c>
      <x:c r="E55" s="55" t="b">
        <x:v>1</x:v>
      </x:c>
    </x:row>
    <x:row r="56" ht="28" customHeight="1">
      <x:c r="A56" s="54" t="str">
        <x:v>SWA-HSP-004-D04-02</x:v>
      </x:c>
      <x:c r="B56" s="54" t="str">
        <x:v>HSP-004-D04</x:v>
      </x:c>
      <x:c r="C56" s="54" t="str">
        <x:v>HSP-004-W04</x:v>
      </x:c>
      <x:c r="D56" s="54" t="str">
        <x:v>SECONDARY</x:v>
      </x:c>
      <x:c r="E56" s="55" t="b">
        <x:v>1</x:v>
      </x:c>
    </x:row>
    <x:row r="57" ht="28" customHeight="1">
      <x:c r="A57" s="54" t="str">
        <x:v>SWA-HSP-004-D05-01</x:v>
      </x:c>
      <x:c r="B57" s="54" t="str">
        <x:v>HSP-004-D05</x:v>
      </x:c>
      <x:c r="C57" s="54" t="str">
        <x:v>HSP-004-W01</x:v>
      </x:c>
      <x:c r="D57" s="54" t="str">
        <x:v>PRIMARY</x:v>
      </x:c>
      <x:c r="E57" s="55" t="b">
        <x:v>1</x:v>
      </x:c>
    </x:row>
    <x:row r="58" ht="28" customHeight="1">
      <x:c r="A58" s="54" t="str">
        <x:v>SWA-HSP-004-D05-02</x:v>
      </x:c>
      <x:c r="B58" s="54" t="str">
        <x:v>HSP-004-D05</x:v>
      </x:c>
      <x:c r="C58" s="54" t="str">
        <x:v>HSP-004-W05</x:v>
      </x:c>
      <x:c r="D58" s="54" t="str">
        <x:v>SECONDARY</x:v>
      </x:c>
      <x:c r="E58" s="55" t="b">
        <x:v>1</x:v>
      </x:c>
    </x:row>
    <x:row r="59" ht="28" customHeight="1">
      <x:c r="A59" s="54" t="str">
        <x:v>SWA-HSP-004-N01-01</x:v>
      </x:c>
      <x:c r="B59" s="54" t="str">
        <x:v>HSP-004-N01</x:v>
      </x:c>
      <x:c r="C59" s="54" t="str">
        <x:v>HSP-004-W01</x:v>
      </x:c>
      <x:c r="D59" s="54" t="str">
        <x:v>PRIMARY</x:v>
      </x:c>
      <x:c r="E59" s="55" t="b">
        <x:v>1</x:v>
      </x:c>
    </x:row>
    <x:row r="60" ht="28" customHeight="1">
      <x:c r="A60" s="54" t="str">
        <x:v>SWA-HSP-004-N02-01</x:v>
      </x:c>
      <x:c r="B60" s="54" t="str">
        <x:v>HSP-004-N02</x:v>
      </x:c>
      <x:c r="C60" s="54" t="str">
        <x:v>HSP-004-W01</x:v>
      </x:c>
      <x:c r="D60" s="54" t="str">
        <x:v>PRIMARY</x:v>
      </x:c>
      <x:c r="E60" s="55" t="b">
        <x:v>1</x:v>
      </x:c>
    </x:row>
    <x:row r="61" ht="28" customHeight="1">
      <x:c r="A61" s="54" t="str">
        <x:v>SWA-HSP-004-N02-02</x:v>
      </x:c>
      <x:c r="B61" s="54" t="str">
        <x:v>HSP-004-N02</x:v>
      </x:c>
      <x:c r="C61" s="54" t="str">
        <x:v>HSP-004-W02</x:v>
      </x:c>
      <x:c r="D61" s="54" t="str">
        <x:v>SECONDARY</x:v>
      </x:c>
      <x:c r="E61" s="55" t="b">
        <x:v>1</x:v>
      </x:c>
    </x:row>
    <x:row r="62" ht="28" customHeight="1">
      <x:c r="A62" s="54" t="str">
        <x:v>SWA-HSP-004-N03-01</x:v>
      </x:c>
      <x:c r="B62" s="54" t="str">
        <x:v>HSP-004-N03</x:v>
      </x:c>
      <x:c r="C62" s="54" t="str">
        <x:v>HSP-004-W01</x:v>
      </x:c>
      <x:c r="D62" s="54" t="str">
        <x:v>PRIMARY</x:v>
      </x:c>
      <x:c r="E62" s="55" t="b">
        <x:v>1</x:v>
      </x:c>
    </x:row>
    <x:row r="63" ht="28" customHeight="1">
      <x:c r="A63" s="54" t="str">
        <x:v>SWA-HSP-004-N03-02</x:v>
      </x:c>
      <x:c r="B63" s="54" t="str">
        <x:v>HSP-004-N03</x:v>
      </x:c>
      <x:c r="C63" s="54" t="str">
        <x:v>HSP-004-W03</x:v>
      </x:c>
      <x:c r="D63" s="54" t="str">
        <x:v>SECONDARY</x:v>
      </x:c>
      <x:c r="E63" s="55" t="b">
        <x:v>1</x:v>
      </x:c>
    </x:row>
    <x:row r="64" ht="28" customHeight="1">
      <x:c r="A64" s="54" t="str">
        <x:v>SWA-HSP-004-R01-01</x:v>
      </x:c>
      <x:c r="B64" s="54" t="str">
        <x:v>HSP-004-R01</x:v>
      </x:c>
      <x:c r="C64" s="54" t="str">
        <x:v>HSP-004-W01</x:v>
      </x:c>
      <x:c r="D64" s="54" t="str">
        <x:v>PRIMARY</x:v>
      </x:c>
      <x:c r="E64" s="55" t="b">
        <x:v>1</x:v>
      </x:c>
    </x:row>
    <x:row r="65" ht="28" customHeight="1">
      <x:c r="A65" s="56" t="str">
        <x:v>SWA-HSP-004-R02-01</x:v>
      </x:c>
      <x:c r="B65" s="56" t="str">
        <x:v>HSP-004-R02</x:v>
      </x:c>
      <x:c r="C65" s="56" t="str">
        <x:v>HSP-004-W01</x:v>
      </x:c>
      <x:c r="D65" s="56" t="str">
        <x:v>PRIMARY</x:v>
      </x:c>
      <x:c r="E65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0b1d71891504b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8" hidden="0" customWidth="1"/>
    <x:col min="12" max="12" width="38" hidden="0" customWidth="1"/>
    <x:col min="13" max="13" width="38" hidden="0" customWidth="1"/>
    <x:col min="14" max="14" width="20" hidden="0" customWidth="1"/>
    <x:col min="15" max="15" width="20" hidden="0" customWidth="1"/>
    <x:col min="16" max="16" width="22" hidden="0" customWidth="1"/>
    <x:col min="17" max="17" width="18" hidden="0" customWidth="1"/>
  </x:cols>
  <x:sheetData>
    <x:row r="1" ht="34" customHeight="1">
      <x:c r="A1" s="53" t="str">
        <x:v>patient_id</x:v>
      </x:c>
      <x:c r="B1" s="53" t="str">
        <x:v>hospital_id</x:v>
      </x:c>
      <x:c r="C1" s="53" t="str">
        <x:v>medical_record_number</x:v>
      </x:c>
      <x:c r="D1" s="53" t="str">
        <x:v>full_name</x:v>
      </x:c>
      <x:c r="E1" s="58" t="str">
        <x:v>date_of_birth</x:v>
      </x:c>
      <x:c r="F1" s="53" t="str">
        <x:v>age_years_at_demo</x:v>
      </x:c>
      <x:c r="G1" s="53" t="str">
        <x:v>sex</x:v>
      </x:c>
      <x:c r="H1" s="53" t="str">
        <x:v>phone</x:v>
      </x:c>
      <x:c r="I1" s="53" t="str">
        <x:v>email</x:v>
      </x:c>
      <x:c r="J1" s="53" t="str">
        <x:v>blood_group</x:v>
      </x:c>
      <x:c r="K1" s="53" t="str">
        <x:v>allergies</x:v>
      </x:c>
      <x:c r="L1" s="53" t="str">
        <x:v>chronic_conditions</x:v>
      </x:c>
      <x:c r="M1" s="53" t="str">
        <x:v>current_medications</x:v>
      </x:c>
      <x:c r="N1" s="53" t="str">
        <x:v>coverage_scheme_code</x:v>
      </x:c>
      <x:c r="O1" s="53" t="str">
        <x:v>dataset_status</x:v>
      </x:c>
      <x:c r="P1" s="53" t="str">
        <x:v>available_for_new_encounter</x:v>
      </x:c>
      <x:c r="Q1" s="53" t="str">
        <x:v>is_synthetic</x:v>
      </x:c>
    </x:row>
    <x:row r="2" ht="36" customHeight="1">
      <x:c r="A2" s="54" t="str">
        <x:v>HSP-001-P001</x:v>
      </x:c>
      <x:c r="B2" s="54" t="str">
        <x:v>HSP-001</x:v>
      </x:c>
      <x:c r="C2" s="54" t="str">
        <x:v>MRN-001-001</x:v>
      </x:c>
      <x:c r="D2" s="54" t="str">
        <x:v>Aanya Chauhan</x:v>
      </x:c>
      <x:c r="E2" s="59" t="n">
        <x:v>21835</x:v>
      </x:c>
      <x:c r="F2" s="54" t="n">
        <x:v>67</x:v>
      </x:c>
      <x:c r="G2" s="54" t="str">
        <x:v>Male</x:v>
      </x:c>
      <x:c r="H2" s="54" t="str">
        <x:v>+91-00000-00001</x:v>
      </x:c>
      <x:c r="I2" s="54" t="str">
        <x:v>hsp-001-p001@example.invalid</x:v>
      </x:c>
      <x:c r="J2" s="54" t="str">
        <x:v>A+</x:v>
      </x:c>
      <x:c r="K2" s="61" t="str">
        <x:v>No known allergy reported</x:v>
      </x:c>
      <x:c r="L2" s="61" t="str">
        <x:v>Hypertension</x:v>
      </x:c>
      <x:c r="M2" s="61" t="str">
        <x:v>Patient-reported antihypertensive; verify</x:v>
      </x:c>
      <x:c r="N2" s="54" t="str">
        <x:v>DEMO_INSURANCE</x:v>
      </x:c>
      <x:c r="O2" s="54" t="str">
        <x:v>LIVE</x:v>
      </x:c>
      <x:c r="P2" s="55" t="b">
        <x:v>0</x:v>
      </x:c>
      <x:c r="Q2" s="55" t="b">
        <x:v>1</x:v>
      </x:c>
    </x:row>
    <x:row r="3" ht="36" customHeight="1">
      <x:c r="A3" s="54" t="str">
        <x:v>HSP-001-P002</x:v>
      </x:c>
      <x:c r="B3" s="54" t="str">
        <x:v>HSP-001</x:v>
      </x:c>
      <x:c r="C3" s="54" t="str">
        <x:v>MRN-001-002</x:v>
      </x:c>
      <x:c r="D3" s="54" t="str">
        <x:v>Aditi Goyal</x:v>
      </x:c>
      <x:c r="E3" s="59" t="n">
        <x:v>26483</x:v>
      </x:c>
      <x:c r="F3" s="54" t="n">
        <x:v>54</x:v>
      </x:c>
      <x:c r="G3" s="54" t="str">
        <x:v>Female</x:v>
      </x:c>
      <x:c r="H3" s="54" t="str">
        <x:v>+91-00000-00002</x:v>
      </x:c>
      <x:c r="I3" s="54" t="str">
        <x:v>hsp-001-p002@example.invalid</x:v>
      </x:c>
      <x:c r="J3" s="54" t="str">
        <x:v>B+</x:v>
      </x:c>
      <x:c r="K3" s="61" t="str">
        <x:v>No known allergy reported</x:v>
      </x:c>
      <x:c r="L3" s="61" t="str">
        <x:v>None reported</x:v>
      </x:c>
      <x:c r="M3" s="61" t="str">
        <x:v>None reported</x:v>
      </x:c>
      <x:c r="N3" s="54" t="str">
        <x:v>GOVT_DEMO</x:v>
      </x:c>
      <x:c r="O3" s="54" t="str">
        <x:v>LIVE</x:v>
      </x:c>
      <x:c r="P3" s="55" t="b">
        <x:v>0</x:v>
      </x:c>
      <x:c r="Q3" s="55" t="b">
        <x:v>1</x:v>
      </x:c>
    </x:row>
    <x:row r="4" ht="36" customHeight="1">
      <x:c r="A4" s="54" t="str">
        <x:v>HSP-001-P003</x:v>
      </x:c>
      <x:c r="B4" s="54" t="str">
        <x:v>HSP-001</x:v>
      </x:c>
      <x:c r="C4" s="54" t="str">
        <x:v>MRN-001-003</x:v>
      </x:c>
      <x:c r="D4" s="54" t="str">
        <x:v>Advait Kapoor</x:v>
      </x:c>
      <x:c r="E4" s="59" t="n">
        <x:v>33517</x:v>
      </x:c>
      <x:c r="F4" s="54" t="n">
        <x:v>35</x:v>
      </x:c>
      <x:c r="G4" s="54" t="str">
        <x:v>Male</x:v>
      </x:c>
      <x:c r="H4" s="54" t="str">
        <x:v>+91-00000-00003</x:v>
      </x:c>
      <x:c r="I4" s="54" t="str">
        <x:v>hsp-001-p003@example.invalid</x:v>
      </x:c>
      <x:c r="J4" s="54" t="str">
        <x:v>AB+</x:v>
      </x:c>
      <x:c r="K4" s="61" t="str">
        <x:v>No known allergy reported</x:v>
      </x:c>
      <x:c r="L4" s="61" t="str">
        <x:v>None reported</x:v>
      </x:c>
      <x:c r="M4" s="61" t="str">
        <x:v>None reported</x:v>
      </x:c>
      <x:c r="N4" s="54" t="str">
        <x:v>SELF_PAY</x:v>
      </x:c>
      <x:c r="O4" s="54" t="str">
        <x:v>LIVE</x:v>
      </x:c>
      <x:c r="P4" s="55" t="b">
        <x:v>0</x:v>
      </x:c>
      <x:c r="Q4" s="55" t="b">
        <x:v>1</x:v>
      </x:c>
    </x:row>
    <x:row r="5" ht="36" customHeight="1">
      <x:c r="A5" s="54" t="str">
        <x:v>HSP-001-P004</x:v>
      </x:c>
      <x:c r="B5" s="54" t="str">
        <x:v>HSP-001</x:v>
      </x:c>
      <x:c r="C5" s="54" t="str">
        <x:v>MRN-001-004</x:v>
      </x:c>
      <x:c r="D5" s="54" t="str">
        <x:v>Aisha Mehta</x:v>
      </x:c>
      <x:c r="E5" s="59" t="n">
        <x:v>43107</x:v>
      </x:c>
      <x:c r="F5" s="54" t="n">
        <x:v>8</x:v>
      </x:c>
      <x:c r="G5" s="54" t="str">
        <x:v>Female</x:v>
      </x:c>
      <x:c r="H5" s="54" t="str">
        <x:v>+91-00000-00004</x:v>
      </x:c>
      <x:c r="I5" s="54" t="str">
        <x:v>hsp-001-p004@example.invalid</x:v>
      </x:c>
      <x:c r="J5" s="54" t="str">
        <x:v>O-</x:v>
      </x:c>
      <x:c r="K5" s="61" t="str">
        <x:v>No known allergy reported</x:v>
      </x:c>
      <x:c r="L5" s="61" t="str">
        <x:v>None reported</x:v>
      </x:c>
      <x:c r="M5" s="61" t="str">
        <x:v>None reported</x:v>
      </x:c>
      <x:c r="N5" s="54" t="str">
        <x:v>DEMO_INSURANCE</x:v>
      </x:c>
      <x:c r="O5" s="54" t="str">
        <x:v>LIVE</x:v>
      </x:c>
      <x:c r="P5" s="55" t="b">
        <x:v>0</x:v>
      </x:c>
      <x:c r="Q5" s="55" t="b">
        <x:v>1</x:v>
      </x:c>
    </x:row>
    <x:row r="6" ht="36" customHeight="1">
      <x:c r="A6" s="54" t="str">
        <x:v>HSP-001-P005</x:v>
      </x:c>
      <x:c r="B6" s="54" t="str">
        <x:v>HSP-001</x:v>
      </x:c>
      <x:c r="C6" s="54" t="str">
        <x:v>MRN-001-005</x:v>
      </x:c>
      <x:c r="D6" s="54" t="str">
        <x:v>Akshay Nair</x:v>
      </x:c>
      <x:c r="E6" s="59" t="n">
        <x:v>23833</x:v>
      </x:c>
      <x:c r="F6" s="54" t="n">
        <x:v>61</x:v>
      </x:c>
      <x:c r="G6" s="54" t="str">
        <x:v>Male</x:v>
      </x:c>
      <x:c r="H6" s="54" t="str">
        <x:v>+91-00000-00005</x:v>
      </x:c>
      <x:c r="I6" s="54" t="str">
        <x:v>hsp-001-p005@example.invalid</x:v>
      </x:c>
      <x:c r="J6" s="54" t="str">
        <x:v>O+</x:v>
      </x:c>
      <x:c r="K6" s="61" t="str">
        <x:v>No known allergy reported</x:v>
      </x:c>
      <x:c r="L6" s="61" t="str">
        <x:v>Hypertension</x:v>
      </x:c>
      <x:c r="M6" s="61" t="str">
        <x:v>Patient-reported antihypertensive; verify</x:v>
      </x:c>
      <x:c r="N6" s="54" t="str">
        <x:v>GOVT_DEMO</x:v>
      </x:c>
      <x:c r="O6" s="54" t="str">
        <x:v>LIVE</x:v>
      </x:c>
      <x:c r="P6" s="55" t="b">
        <x:v>0</x:v>
      </x:c>
      <x:c r="Q6" s="55" t="b">
        <x:v>1</x:v>
      </x:c>
    </x:row>
    <x:row r="7" ht="36" customHeight="1">
      <x:c r="A7" s="54" t="str">
        <x:v>HSP-001-P006</x:v>
      </x:c>
      <x:c r="B7" s="54" t="str">
        <x:v>HSP-001</x:v>
      </x:c>
      <x:c r="C7" s="54" t="str">
        <x:v>MRN-001-006</x:v>
      </x:c>
      <x:c r="D7" s="54" t="str">
        <x:v>Amara Reddy</x:v>
      </x:c>
      <x:c r="E7" s="59" t="n">
        <x:v>20647</x:v>
      </x:c>
      <x:c r="F7" s="54" t="n">
        <x:v>70</x:v>
      </x:c>
      <x:c r="G7" s="54" t="str">
        <x:v>Female</x:v>
      </x:c>
      <x:c r="H7" s="54" t="str">
        <x:v>+91-00000-00006</x:v>
      </x:c>
      <x:c r="I7" s="54" t="str">
        <x:v>hsp-001-p006@example.invalid</x:v>
      </x:c>
      <x:c r="J7" s="54" t="str">
        <x:v>A+</x:v>
      </x:c>
      <x:c r="K7" s="61" t="str">
        <x:v>No known allergy reported</x:v>
      </x:c>
      <x:c r="L7" s="61" t="str">
        <x:v>Hypertension</x:v>
      </x:c>
      <x:c r="M7" s="61" t="str">
        <x:v>Patient-reported antihypertensive; verify</x:v>
      </x:c>
      <x:c r="N7" s="54" t="str">
        <x:v>SELF_PAY</x:v>
      </x:c>
      <x:c r="O7" s="54" t="str">
        <x:v>LIVE</x:v>
      </x:c>
      <x:c r="P7" s="55" t="b">
        <x:v>0</x:v>
      </x:c>
      <x:c r="Q7" s="55" t="b">
        <x:v>1</x:v>
      </x:c>
    </x:row>
    <x:row r="8" ht="36" customHeight="1">
      <x:c r="A8" s="54" t="str">
        <x:v>HSP-001-P007</x:v>
      </x:c>
      <x:c r="B8" s="54" t="str">
        <x:v>HSP-001</x:v>
      </x:c>
      <x:c r="C8" s="54" t="str">
        <x:v>MRN-001-007</x:v>
      </x:c>
      <x:c r="D8" s="54" t="str">
        <x:v>Amit Shah</x:v>
      </x:c>
      <x:c r="E8" s="59" t="n">
        <x:v>30868</x:v>
      </x:c>
      <x:c r="F8" s="54" t="n">
        <x:v>42</x:v>
      </x:c>
      <x:c r="G8" s="54" t="str">
        <x:v>Female</x:v>
      </x:c>
      <x:c r="H8" s="54" t="str">
        <x:v>+91-00000-00007</x:v>
      </x:c>
      <x:c r="I8" s="54" t="str">
        <x:v>hsp-001-p007@example.invalid</x:v>
      </x:c>
      <x:c r="J8" s="54" t="str">
        <x:v>B+</x:v>
      </x:c>
      <x:c r="K8" s="61" t="str">
        <x:v>No known allergy reported</x:v>
      </x:c>
      <x:c r="L8" s="61" t="str">
        <x:v>Type 2 diabetes</x:v>
      </x:c>
      <x:c r="M8" s="61" t="str">
        <x:v>Patient-reported diabetes medicine; verify</x:v>
      </x:c>
      <x:c r="N8" s="54" t="str">
        <x:v>DEMO_INSURANCE</x:v>
      </x:c>
      <x:c r="O8" s="54" t="str">
        <x:v>LIVE</x:v>
      </x:c>
      <x:c r="P8" s="55" t="b">
        <x:v>0</x:v>
      </x:c>
      <x:c r="Q8" s="55" t="b">
        <x:v>1</x:v>
      </x:c>
    </x:row>
    <x:row r="9" ht="36" customHeight="1">
      <x:c r="A9" s="54" t="str">
        <x:v>HSP-001-P008</x:v>
      </x:c>
      <x:c r="B9" s="54" t="str">
        <x:v>HSP-001</x:v>
      </x:c>
      <x:c r="C9" s="54" t="str">
        <x:v>MRN-001-008</x:v>
      </x:c>
      <x:c r="D9" s="54" t="str">
        <x:v>Anika Verma</x:v>
      </x:c>
      <x:c r="E9" s="59" t="n">
        <x:v>25029</x:v>
      </x:c>
      <x:c r="F9" s="54" t="n">
        <x:v>58</x:v>
      </x:c>
      <x:c r="G9" s="54" t="str">
        <x:v>Male</x:v>
      </x:c>
      <x:c r="H9" s="54" t="str">
        <x:v>+91-00000-00008</x:v>
      </x:c>
      <x:c r="I9" s="54" t="str">
        <x:v>hsp-001-p008@example.invalid</x:v>
      </x:c>
      <x:c r="J9" s="54" t="str">
        <x:v>AB+</x:v>
      </x:c>
      <x:c r="K9" s="61" t="str">
        <x:v>No known allergy reported</x:v>
      </x:c>
      <x:c r="L9" s="61" t="str">
        <x:v>None reported</x:v>
      </x:c>
      <x:c r="M9" s="61" t="str">
        <x:v>None reported</x:v>
      </x:c>
      <x:c r="N9" s="54" t="str">
        <x:v>GOVT_DEMO</x:v>
      </x:c>
      <x:c r="O9" s="54" t="str">
        <x:v>LIVE</x:v>
      </x:c>
      <x:c r="P9" s="55" t="b">
        <x:v>0</x:v>
      </x:c>
      <x:c r="Q9" s="55" t="b">
        <x:v>1</x:v>
      </x:c>
    </x:row>
    <x:row r="10" ht="36" customHeight="1">
      <x:c r="A10" s="54" t="str">
        <x:v>HSP-001-P009</x:v>
      </x:c>
      <x:c r="B10" s="54" t="str">
        <x:v>HSP-001</x:v>
      </x:c>
      <x:c r="C10" s="54" t="str">
        <x:v>MRN-001-009</x:v>
      </x:c>
      <x:c r="D10" s="54" t="str">
        <x:v>Arnav Bhat</x:v>
      </x:c>
      <x:c r="E10" s="59" t="n">
        <x:v>37272</x:v>
      </x:c>
      <x:c r="F10" s="54" t="n">
        <x:v>24</x:v>
      </x:c>
      <x:c r="G10" s="54" t="str">
        <x:v>Female</x:v>
      </x:c>
      <x:c r="H10" s="54" t="str">
        <x:v>+91-00000-00009</x:v>
      </x:c>
      <x:c r="I10" s="54" t="str">
        <x:v>hsp-001-p009@example.invalid</x:v>
      </x:c>
      <x:c r="J10" s="54" t="str">
        <x:v>O-</x:v>
      </x:c>
      <x:c r="K10" s="61" t="str">
        <x:v>No known allergy reported</x:v>
      </x:c>
      <x:c r="L10" s="61" t="str">
        <x:v>Asthma</x:v>
      </x:c>
      <x:c r="M10" s="61" t="str">
        <x:v>Patient-reported inhaler; verify</x:v>
      </x:c>
      <x:c r="N10" s="54" t="str">
        <x:v>SELF_PAY</x:v>
      </x:c>
      <x:c r="O10" s="54" t="str">
        <x:v>LIVE</x:v>
      </x:c>
      <x:c r="P10" s="55" t="b">
        <x:v>0</x:v>
      </x:c>
      <x:c r="Q10" s="55" t="b">
        <x:v>1</x:v>
      </x:c>
    </x:row>
    <x:row r="11" ht="36" customHeight="1">
      <x:c r="A11" s="54" t="str">
        <x:v>HSP-001-P010</x:v>
      </x:c>
      <x:c r="B11" s="54" t="str">
        <x:v>HSP-001</x:v>
      </x:c>
      <x:c r="C11" s="54" t="str">
        <x:v>MRN-001-010</x:v>
      </x:c>
      <x:c r="D11" s="54" t="str">
        <x:v>Avni Fernandes</x:v>
      </x:c>
      <x:c r="E11" s="59" t="n">
        <x:v>35545</x:v>
      </x:c>
      <x:c r="F11" s="54" t="n">
        <x:v>29</x:v>
      </x:c>
      <x:c r="G11" s="54" t="str">
        <x:v>Female</x:v>
      </x:c>
      <x:c r="H11" s="54" t="str">
        <x:v>+91-00000-00010</x:v>
      </x:c>
      <x:c r="I11" s="54" t="str">
        <x:v>hsp-001-p010@example.invalid</x:v>
      </x:c>
      <x:c r="J11" s="54" t="str">
        <x:v>O+</x:v>
      </x:c>
      <x:c r="K11" s="61" t="str">
        <x:v>No known allergy reported</x:v>
      </x:c>
      <x:c r="L11" s="61" t="str">
        <x:v>None reported</x:v>
      </x:c>
      <x:c r="M11" s="61" t="str">
        <x:v>None reported</x:v>
      </x:c>
      <x:c r="N11" s="54" t="str">
        <x:v>DEMO_INSURANCE</x:v>
      </x:c>
      <x:c r="O11" s="54" t="str">
        <x:v>LIVE</x:v>
      </x:c>
      <x:c r="P11" s="55" t="b">
        <x:v>0</x:v>
      </x:c>
      <x:c r="Q11" s="55" t="b">
        <x:v>1</x:v>
      </x:c>
    </x:row>
    <x:row r="12" ht="36" customHeight="1">
      <x:c r="A12" s="54" t="str">
        <x:v>HSP-001-P011</x:v>
      </x:c>
      <x:c r="B12" s="54" t="str">
        <x:v>HSP-001</x:v>
      </x:c>
      <x:c r="C12" s="54" t="str">
        <x:v>MRN-001-011</x:v>
      </x:c>
      <x:c r="D12" s="54" t="str">
        <x:v>Dev Jain</x:v>
      </x:c>
      <x:c r="E12" s="59" t="n">
        <x:v>44039</x:v>
      </x:c>
      <x:c r="F12" s="54" t="n">
        <x:v>6</x:v>
      </x:c>
      <x:c r="G12" s="54" t="str">
        <x:v>Female</x:v>
      </x:c>
      <x:c r="H12" s="54" t="str">
        <x:v>+91-00000-00011</x:v>
      </x:c>
      <x:c r="I12" s="54" t="str">
        <x:v>hsp-001-p011@example.invalid</x:v>
      </x:c>
      <x:c r="J12" s="54" t="str">
        <x:v>A+</x:v>
      </x:c>
      <x:c r="K12" s="61" t="str">
        <x:v>No known allergy reported</x:v>
      </x:c>
      <x:c r="L12" s="61" t="str">
        <x:v>None reported</x:v>
      </x:c>
      <x:c r="M12" s="61" t="str">
        <x:v>None reported</x:v>
      </x:c>
      <x:c r="N12" s="54" t="str">
        <x:v>GOVT_DEMO</x:v>
      </x:c>
      <x:c r="O12" s="54" t="str">
        <x:v>RESERVE</x:v>
      </x:c>
      <x:c r="P12" s="55" t="b">
        <x:v>1</x:v>
      </x:c>
      <x:c r="Q12" s="55" t="b">
        <x:v>1</x:v>
      </x:c>
    </x:row>
    <x:row r="13" ht="36" customHeight="1">
      <x:c r="A13" s="54" t="str">
        <x:v>HSP-001-P012</x:v>
      </x:c>
      <x:c r="B13" s="54" t="str">
        <x:v>HSP-001</x:v>
      </x:c>
      <x:c r="C13" s="54" t="str">
        <x:v>MRN-001-012</x:v>
      </x:c>
      <x:c r="D13" s="54" t="str">
        <x:v>Esha Kulkarni</x:v>
      </x:c>
      <x:c r="E13" s="59" t="n">
        <x:v>41387</x:v>
      </x:c>
      <x:c r="F13" s="54" t="n">
        <x:v>13</x:v>
      </x:c>
      <x:c r="G13" s="54" t="str">
        <x:v>Male</x:v>
      </x:c>
      <x:c r="H13" s="54" t="str">
        <x:v>+91-00000-00012</x:v>
      </x:c>
      <x:c r="I13" s="54" t="str">
        <x:v>hsp-001-p012@example.invalid</x:v>
      </x:c>
      <x:c r="J13" s="54" t="str">
        <x:v>B+</x:v>
      </x:c>
      <x:c r="K13" s="61" t="str">
        <x:v>No known allergy reported</x:v>
      </x:c>
      <x:c r="L13" s="61" t="str">
        <x:v>None reported</x:v>
      </x:c>
      <x:c r="M13" s="61" t="str">
        <x:v>None reported</x:v>
      </x:c>
      <x:c r="N13" s="54" t="str">
        <x:v>SELF_PAY</x:v>
      </x:c>
      <x:c r="O13" s="54" t="str">
        <x:v>RESERVE</x:v>
      </x:c>
      <x:c r="P13" s="55" t="b">
        <x:v>1</x:v>
      </x:c>
      <x:c r="Q13" s="55" t="b">
        <x:v>1</x:v>
      </x:c>
    </x:row>
    <x:row r="14" ht="36" customHeight="1">
      <x:c r="A14" s="54" t="str">
        <x:v>HSP-001-P013</x:v>
      </x:c>
      <x:c r="B14" s="54" t="str">
        <x:v>HSP-001</x:v>
      </x:c>
      <x:c r="C14" s="54" t="str">
        <x:v>MRN-001-013</x:v>
      </x:c>
      <x:c r="D14" s="54" t="str">
        <x:v>Ira Mishra</x:v>
      </x:c>
      <x:c r="E14" s="59" t="n">
        <x:v>38736</x:v>
      </x:c>
      <x:c r="F14" s="54" t="n">
        <x:v>20</x:v>
      </x:c>
      <x:c r="G14" s="54" t="str">
        <x:v>Female</x:v>
      </x:c>
      <x:c r="H14" s="54" t="str">
        <x:v>+91-00000-00013</x:v>
      </x:c>
      <x:c r="I14" s="54" t="str">
        <x:v>hsp-001-p013@example.invalid</x:v>
      </x:c>
      <x:c r="J14" s="54" t="str">
        <x:v>AB+</x:v>
      </x:c>
      <x:c r="K14" s="61" t="str">
        <x:v>Penicillin (patient reported)</x:v>
      </x:c>
      <x:c r="L14" s="61" t="str">
        <x:v>None reported</x:v>
      </x:c>
      <x:c r="M14" s="61" t="str">
        <x:v>None reported</x:v>
      </x:c>
      <x:c r="N14" s="54" t="str">
        <x:v>DEMO_INSURANCE</x:v>
      </x:c>
      <x:c r="O14" s="54" t="str">
        <x:v>RESERVE</x:v>
      </x:c>
      <x:c r="P14" s="55" t="b">
        <x:v>1</x:v>
      </x:c>
      <x:c r="Q14" s="55" t="b">
        <x:v>1</x:v>
      </x:c>
    </x:row>
    <x:row r="15" ht="36" customHeight="1">
      <x:c r="A15" s="54" t="str">
        <x:v>HSP-001-P014</x:v>
      </x:c>
      <x:c r="B15" s="54" t="str">
        <x:v>HSP-001</x:v>
      </x:c>
      <x:c r="C15" s="54" t="str">
        <x:v>MRN-001-014</x:v>
      </x:c>
      <x:c r="D15" s="54" t="str">
        <x:v>Ishaan Rao</x:v>
      </x:c>
      <x:c r="E15" s="59" t="n">
        <x:v>36448</x:v>
      </x:c>
      <x:c r="F15" s="54" t="n">
        <x:v>27</x:v>
      </x:c>
      <x:c r="G15" s="54" t="str">
        <x:v>Male</x:v>
      </x:c>
      <x:c r="H15" s="54" t="str">
        <x:v>+91-00000-00014</x:v>
      </x:c>
      <x:c r="I15" s="54" t="str">
        <x:v>hsp-001-p014@example.invalid</x:v>
      </x:c>
      <x:c r="J15" s="54" t="str">
        <x:v>O-</x:v>
      </x:c>
      <x:c r="K15" s="61" t="str">
        <x:v>No known allergy reported</x:v>
      </x:c>
      <x:c r="L15" s="61" t="str">
        <x:v>Type 2 diabetes</x:v>
      </x:c>
      <x:c r="M15" s="61" t="str">
        <x:v>Patient-reported diabetes medicine; verify</x:v>
      </x:c>
      <x:c r="N15" s="54" t="str">
        <x:v>GOVT_DEMO</x:v>
      </x:c>
      <x:c r="O15" s="54" t="str">
        <x:v>RESERVE</x:v>
      </x:c>
      <x:c r="P15" s="55" t="b">
        <x:v>1</x:v>
      </x:c>
      <x:c r="Q15" s="55" t="b">
        <x:v>1</x:v>
      </x:c>
    </x:row>
    <x:row r="16" ht="36" customHeight="1">
      <x:c r="A16" s="54" t="str">
        <x:v>HSP-001-P015</x:v>
      </x:c>
      <x:c r="B16" s="54" t="str">
        <x:v>HSP-001</x:v>
      </x:c>
      <x:c r="C16" s="54" t="str">
        <x:v>MRN-001-015</x:v>
      </x:c>
      <x:c r="D16" s="54" t="str">
        <x:v>Jai Saxena</x:v>
      </x:c>
      <x:c r="E16" s="59" t="n">
        <x:v>33796</x:v>
      </x:c>
      <x:c r="F16" s="54" t="n">
        <x:v>34</x:v>
      </x:c>
      <x:c r="G16" s="54" t="str">
        <x:v>Female</x:v>
      </x:c>
      <x:c r="H16" s="54" t="str">
        <x:v>+91-00000-00015</x:v>
      </x:c>
      <x:c r="I16" s="54" t="str">
        <x:v>hsp-001-p015@example.invalid</x:v>
      </x:c>
      <x:c r="J16" s="54" t="str">
        <x:v>O+</x:v>
      </x:c>
      <x:c r="K16" s="61" t="str">
        <x:v>No known allergy reported</x:v>
      </x:c>
      <x:c r="L16" s="61" t="str">
        <x:v>None reported</x:v>
      </x:c>
      <x:c r="M16" s="61" t="str">
        <x:v>None reported</x:v>
      </x:c>
      <x:c r="N16" s="54" t="str">
        <x:v>SELF_PAY</x:v>
      </x:c>
      <x:c r="O16" s="54" t="str">
        <x:v>RESERVE</x:v>
      </x:c>
      <x:c r="P16" s="55" t="b">
        <x:v>1</x:v>
      </x:c>
      <x:c r="Q16" s="55" t="b">
        <x:v>1</x:v>
      </x:c>
    </x:row>
    <x:row r="17" ht="36" customHeight="1">
      <x:c r="A17" s="54" t="str">
        <x:v>HSP-001-P016</x:v>
      </x:c>
      <x:c r="B17" s="54" t="str">
        <x:v>HSP-001</x:v>
      </x:c>
      <x:c r="C17" s="54" t="str">
        <x:v>MRN-001-016</x:v>
      </x:c>
      <x:c r="D17" s="54" t="str">
        <x:v>Kiran Singh</x:v>
      </x:c>
      <x:c r="E17" s="59" t="n">
        <x:v>31144</x:v>
      </x:c>
      <x:c r="F17" s="54" t="n">
        <x:v>41</x:v>
      </x:c>
      <x:c r="G17" s="54" t="str">
        <x:v>Male</x:v>
      </x:c>
      <x:c r="H17" s="54" t="str">
        <x:v>+91-00000-00016</x:v>
      </x:c>
      <x:c r="I17" s="54" t="str">
        <x:v>hsp-001-p016@example.invalid</x:v>
      </x:c>
      <x:c r="J17" s="54" t="str">
        <x:v>A+</x:v>
      </x:c>
      <x:c r="K17" s="61" t="str">
        <x:v>No known allergy reported</x:v>
      </x:c>
      <x:c r="L17" s="61" t="str">
        <x:v>None reported</x:v>
      </x:c>
      <x:c r="M17" s="61" t="str">
        <x:v>None reported</x:v>
      </x:c>
      <x:c r="N17" s="54" t="str">
        <x:v>DEMO_INSURANCE</x:v>
      </x:c>
      <x:c r="O17" s="54" t="str">
        <x:v>RESERVE</x:v>
      </x:c>
      <x:c r="P17" s="55" t="b">
        <x:v>1</x:v>
      </x:c>
      <x:c r="Q17" s="55" t="b">
        <x:v>1</x:v>
      </x:c>
    </x:row>
    <x:row r="18" ht="36" customHeight="1">
      <x:c r="A18" s="54" t="str">
        <x:v>HSP-001-P017</x:v>
      </x:c>
      <x:c r="B18" s="54" t="str">
        <x:v>HSP-001</x:v>
      </x:c>
      <x:c r="C18" s="54" t="str">
        <x:v>MRN-001-017</x:v>
      </x:c>
      <x:c r="D18" s="54" t="str">
        <x:v>Krish Banerjee</x:v>
      </x:c>
      <x:c r="E18" s="59" t="n">
        <x:v>28493</x:v>
      </x:c>
      <x:c r="F18" s="54" t="n">
        <x:v>48</x:v>
      </x:c>
      <x:c r="G18" s="54" t="str">
        <x:v>Female</x:v>
      </x:c>
      <x:c r="H18" s="54" t="str">
        <x:v>+91-00000-00017</x:v>
      </x:c>
      <x:c r="I18" s="54" t="str">
        <x:v>hsp-001-p017@example.invalid</x:v>
      </x:c>
      <x:c r="J18" s="54" t="str">
        <x:v>B+</x:v>
      </x:c>
      <x:c r="K18" s="61" t="str">
        <x:v>No known allergy reported</x:v>
      </x:c>
      <x:c r="L18" s="61" t="str">
        <x:v>None reported</x:v>
      </x:c>
      <x:c r="M18" s="61" t="str">
        <x:v>None reported</x:v>
      </x:c>
      <x:c r="N18" s="54" t="str">
        <x:v>GOVT_DEMO</x:v>
      </x:c>
      <x:c r="O18" s="54" t="str">
        <x:v>RESERVE</x:v>
      </x:c>
      <x:c r="P18" s="55" t="b">
        <x:v>1</x:v>
      </x:c>
      <x:c r="Q18" s="55" t="b">
        <x:v>1</x:v>
      </x:c>
    </x:row>
    <x:row r="19" ht="36" customHeight="1">
      <x:c r="A19" s="54" t="str">
        <x:v>HSP-001-P018</x:v>
      </x:c>
      <x:c r="B19" s="54" t="str">
        <x:v>HSP-001</x:v>
      </x:c>
      <x:c r="C19" s="54" t="str">
        <x:v>MRN-001-018</x:v>
      </x:c>
      <x:c r="D19" s="54" t="str">
        <x:v>Maya Desai</x:v>
      </x:c>
      <x:c r="E19" s="59" t="n">
        <x:v>26232</x:v>
      </x:c>
      <x:c r="F19" s="54" t="n">
        <x:v>55</x:v>
      </x:c>
      <x:c r="G19" s="54" t="str">
        <x:v>Male</x:v>
      </x:c>
      <x:c r="H19" s="54" t="str">
        <x:v>+91-00000-00018</x:v>
      </x:c>
      <x:c r="I19" s="54" t="str">
        <x:v>hsp-001-p018@example.invalid</x:v>
      </x:c>
      <x:c r="J19" s="54" t="str">
        <x:v>AB+</x:v>
      </x:c>
      <x:c r="K19" s="61" t="str">
        <x:v>No known allergy reported</x:v>
      </x:c>
      <x:c r="L19" s="61" t="str">
        <x:v>Asthma</x:v>
      </x:c>
      <x:c r="M19" s="61" t="str">
        <x:v>Patient-reported inhaler; verify</x:v>
      </x:c>
      <x:c r="N19" s="54" t="str">
        <x:v>SELF_PAY</x:v>
      </x:c>
      <x:c r="O19" s="54" t="str">
        <x:v>RESERVE</x:v>
      </x:c>
      <x:c r="P19" s="55" t="b">
        <x:v>1</x:v>
      </x:c>
      <x:c r="Q19" s="55" t="b">
        <x:v>1</x:v>
      </x:c>
    </x:row>
    <x:row r="20" ht="36" customHeight="1">
      <x:c r="A20" s="54" t="str">
        <x:v>HSP-001-P019</x:v>
      </x:c>
      <x:c r="B20" s="54" t="str">
        <x:v>HSP-001</x:v>
      </x:c>
      <x:c r="C20" s="54" t="str">
        <x:v>MRN-001-019</x:v>
      </x:c>
      <x:c r="D20" s="54" t="str">
        <x:v>Mira Hegde</x:v>
      </x:c>
      <x:c r="E20" s="59" t="n">
        <x:v>23580</x:v>
      </x:c>
      <x:c r="F20" s="54" t="n">
        <x:v>62</x:v>
      </x:c>
      <x:c r="G20" s="54" t="str">
        <x:v>Female</x:v>
      </x:c>
      <x:c r="H20" s="54" t="str">
        <x:v>+91-00000-00019</x:v>
      </x:c>
      <x:c r="I20" s="54" t="str">
        <x:v>hsp-001-p019@example.invalid</x:v>
      </x:c>
      <x:c r="J20" s="54" t="str">
        <x:v>O-</x:v>
      </x:c>
      <x:c r="K20" s="61" t="str">
        <x:v>No known allergy reported</x:v>
      </x:c>
      <x:c r="L20" s="61" t="str">
        <x:v>Hypertension</x:v>
      </x:c>
      <x:c r="M20" s="61" t="str">
        <x:v>Patient-reported antihypertensive; verify</x:v>
      </x:c>
      <x:c r="N20" s="54" t="str">
        <x:v>DEMO_INSURANCE</x:v>
      </x:c>
      <x:c r="O20" s="54" t="str">
        <x:v>RESERVE</x:v>
      </x:c>
      <x:c r="P20" s="55" t="b">
        <x:v>1</x:v>
      </x:c>
      <x:c r="Q20" s="55" t="b">
        <x:v>1</x:v>
      </x:c>
    </x:row>
    <x:row r="21" ht="36" customHeight="1">
      <x:c r="A21" s="54" t="str">
        <x:v>HSP-001-P020</x:v>
      </x:c>
      <x:c r="B21" s="54" t="str">
        <x:v>HSP-001</x:v>
      </x:c>
      <x:c r="C21" s="54" t="str">
        <x:v>MRN-001-020</x:v>
      </x:c>
      <x:c r="D21" s="54" t="str">
        <x:v>Nikhil Khan</x:v>
      </x:c>
      <x:c r="E21" s="59" t="n">
        <x:v>20928</x:v>
      </x:c>
      <x:c r="F21" s="54" t="n">
        <x:v>69</x:v>
      </x:c>
      <x:c r="G21" s="54" t="str">
        <x:v>Male</x:v>
      </x:c>
      <x:c r="H21" s="54" t="str">
        <x:v>+91-00000-00020</x:v>
      </x:c>
      <x:c r="I21" s="54" t="str">
        <x:v>hsp-001-p020@example.invalid</x:v>
      </x:c>
      <x:c r="J21" s="54" t="str">
        <x:v>O+</x:v>
      </x:c>
      <x:c r="K21" s="61" t="str">
        <x:v>No known allergy reported</x:v>
      </x:c>
      <x:c r="L21" s="61" t="str">
        <x:v>Hypertension</x:v>
      </x:c>
      <x:c r="M21" s="61" t="str">
        <x:v>Patient-reported antihypertensive; verify</x:v>
      </x:c>
      <x:c r="N21" s="54" t="str">
        <x:v>GOVT_DEMO</x:v>
      </x:c>
      <x:c r="O21" s="54" t="str">
        <x:v>RESERVE</x:v>
      </x:c>
      <x:c r="P21" s="55" t="b">
        <x:v>1</x:v>
      </x:c>
      <x:c r="Q21" s="55" t="b">
        <x:v>1</x:v>
      </x:c>
    </x:row>
    <x:row r="22" ht="36" customHeight="1">
      <x:c r="A22" s="54" t="str">
        <x:v>HSP-001-P021</x:v>
      </x:c>
      <x:c r="B22" s="54" t="str">
        <x:v>HSP-001</x:v>
      </x:c>
      <x:c r="C22" s="54" t="str">
        <x:v>MRN-001-021</x:v>
      </x:c>
      <x:c r="D22" s="54" t="str">
        <x:v>Nisha Menon</x:v>
      </x:c>
      <x:c r="E22" s="59" t="n">
        <x:v>18277</x:v>
      </x:c>
      <x:c r="F22" s="54" t="n">
        <x:v>76</x:v>
      </x:c>
      <x:c r="G22" s="54" t="str">
        <x:v>Female</x:v>
      </x:c>
      <x:c r="H22" s="54" t="str">
        <x:v>+91-00000-00021</x:v>
      </x:c>
      <x:c r="I22" s="54" t="str">
        <x:v>hsp-001-p021@example.invalid</x:v>
      </x:c>
      <x:c r="J22" s="54" t="str">
        <x:v>A+</x:v>
      </x:c>
      <x:c r="K22" s="61" t="str">
        <x:v>No known allergy reported</x:v>
      </x:c>
      <x:c r="L22" s="61" t="str">
        <x:v>Hypertension</x:v>
      </x:c>
      <x:c r="M22" s="61" t="str">
        <x:v>Patient-reported antihypertensive; verify</x:v>
      </x:c>
      <x:c r="N22" s="54" t="str">
        <x:v>SELF_PAY</x:v>
      </x:c>
      <x:c r="O22" s="54" t="str">
        <x:v>RESERVE</x:v>
      </x:c>
      <x:c r="P22" s="55" t="b">
        <x:v>1</x:v>
      </x:c>
      <x:c r="Q22" s="55" t="b">
        <x:v>1</x:v>
      </x:c>
    </x:row>
    <x:row r="23" ht="36" customHeight="1">
      <x:c r="A23" s="54" t="str">
        <x:v>HSP-001-P022</x:v>
      </x:c>
      <x:c r="B23" s="54" t="str">
        <x:v>HSP-001</x:v>
      </x:c>
      <x:c r="C23" s="54" t="str">
        <x:v>MRN-001-022</x:v>
      </x:c>
      <x:c r="D23" s="54" t="str">
        <x:v>Ravi Patel</x:v>
      </x:c>
      <x:c r="E23" s="59" t="n">
        <x:v>43756</x:v>
      </x:c>
      <x:c r="F23" s="54" t="n">
        <x:v>7</x:v>
      </x:c>
      <x:c r="G23" s="54" t="str">
        <x:v>Male</x:v>
      </x:c>
      <x:c r="H23" s="54" t="str">
        <x:v>+91-00000-00022</x:v>
      </x:c>
      <x:c r="I23" s="54" t="str">
        <x:v>hsp-001-p022@example.invalid</x:v>
      </x:c>
      <x:c r="J23" s="54" t="str">
        <x:v>B+</x:v>
      </x:c>
      <x:c r="K23" s="61" t="str">
        <x:v>No known allergy reported</x:v>
      </x:c>
      <x:c r="L23" s="61" t="str">
        <x:v>None reported</x:v>
      </x:c>
      <x:c r="M23" s="61" t="str">
        <x:v>None reported</x:v>
      </x:c>
      <x:c r="N23" s="54" t="str">
        <x:v>DEMO_INSURANCE</x:v>
      </x:c>
      <x:c r="O23" s="54" t="str">
        <x:v>RESERVE</x:v>
      </x:c>
      <x:c r="P23" s="55" t="b">
        <x:v>1</x:v>
      </x:c>
      <x:c r="Q23" s="55" t="b">
        <x:v>1</x:v>
      </x:c>
    </x:row>
    <x:row r="24" ht="36" customHeight="1">
      <x:c r="A24" s="54" t="str">
        <x:v>HSP-001-P023</x:v>
      </x:c>
      <x:c r="B24" s="54" t="str">
        <x:v>HSP-001</x:v>
      </x:c>
      <x:c r="C24" s="54" t="str">
        <x:v>MRN-001-023</x:v>
      </x:c>
      <x:c r="D24" s="54" t="str">
        <x:v>Reyansh Roy</x:v>
      </x:c>
      <x:c r="E24" s="59" t="n">
        <x:v>41104</x:v>
      </x:c>
      <x:c r="F24" s="54" t="n">
        <x:v>14</x:v>
      </x:c>
      <x:c r="G24" s="54" t="str">
        <x:v>Female</x:v>
      </x:c>
      <x:c r="H24" s="54" t="str">
        <x:v>+91-00000-00023</x:v>
      </x:c>
      <x:c r="I24" s="54" t="str">
        <x:v>hsp-001-p023@example.invalid</x:v>
      </x:c>
      <x:c r="J24" s="54" t="str">
        <x:v>AB+</x:v>
      </x:c>
      <x:c r="K24" s="61" t="str">
        <x:v>No known allergy reported</x:v>
      </x:c>
      <x:c r="L24" s="61" t="str">
        <x:v>None reported</x:v>
      </x:c>
      <x:c r="M24" s="61" t="str">
        <x:v>None reported</x:v>
      </x:c>
      <x:c r="N24" s="54" t="str">
        <x:v>GOVT_DEMO</x:v>
      </x:c>
      <x:c r="O24" s="54" t="str">
        <x:v>RESERVE</x:v>
      </x:c>
      <x:c r="P24" s="55" t="b">
        <x:v>1</x:v>
      </x:c>
      <x:c r="Q24" s="55" t="b">
        <x:v>1</x:v>
      </x:c>
    </x:row>
    <x:row r="25" ht="36" customHeight="1">
      <x:c r="A25" s="54" t="str">
        <x:v>HSP-001-P024</x:v>
      </x:c>
      <x:c r="B25" s="54" t="str">
        <x:v>HSP-001</x:v>
      </x:c>
      <x:c r="C25" s="54" t="str">
        <x:v>MRN-001-024</x:v>
      </x:c>
      <x:c r="D25" s="54" t="str">
        <x:v>Riya Sharma</x:v>
      </x:c>
      <x:c r="E25" s="59" t="n">
        <x:v>38452</x:v>
      </x:c>
      <x:c r="F25" s="54" t="n">
        <x:v>21</x:v>
      </x:c>
      <x:c r="G25" s="54" t="str">
        <x:v>Male</x:v>
      </x:c>
      <x:c r="H25" s="54" t="str">
        <x:v>+91-00000-00024</x:v>
      </x:c>
      <x:c r="I25" s="54" t="str">
        <x:v>hsp-001-p024@example.invalid</x:v>
      </x:c>
      <x:c r="J25" s="54" t="str">
        <x:v>O-</x:v>
      </x:c>
      <x:c r="K25" s="61" t="str">
        <x:v>No known allergy reported</x:v>
      </x:c>
      <x:c r="L25" s="61" t="str">
        <x:v>None reported</x:v>
      </x:c>
      <x:c r="M25" s="61" t="str">
        <x:v>None reported</x:v>
      </x:c>
      <x:c r="N25" s="54" t="str">
        <x:v>SELF_PAY</x:v>
      </x:c>
      <x:c r="O25" s="54" t="str">
        <x:v>RESERVE</x:v>
      </x:c>
      <x:c r="P25" s="55" t="b">
        <x:v>1</x:v>
      </x:c>
      <x:c r="Q25" s="55" t="b">
        <x:v>1</x:v>
      </x:c>
    </x:row>
    <x:row r="26" ht="36" customHeight="1">
      <x:c r="A26" s="54" t="str">
        <x:v>HSP-001-P025</x:v>
      </x:c>
      <x:c r="B26" s="54" t="str">
        <x:v>HSP-001</x:v>
      </x:c>
      <x:c r="C26" s="54" t="str">
        <x:v>MRN-001-025</x:v>
      </x:c>
      <x:c r="D26" s="54" t="str">
        <x:v>Rudra Agarwal</x:v>
      </x:c>
      <x:c r="E26" s="59" t="n">
        <x:v>35801</x:v>
      </x:c>
      <x:c r="F26" s="54" t="n">
        <x:v>28</x:v>
      </x:c>
      <x:c r="G26" s="54" t="str">
        <x:v>Female</x:v>
      </x:c>
      <x:c r="H26" s="54" t="str">
        <x:v>+91-00000-00025</x:v>
      </x:c>
      <x:c r="I26" s="54" t="str">
        <x:v>hsp-001-p025@example.invalid</x:v>
      </x:c>
      <x:c r="J26" s="54" t="str">
        <x:v>O+</x:v>
      </x:c>
      <x:c r="K26" s="61" t="str">
        <x:v>No known allergy reported</x:v>
      </x:c>
      <x:c r="L26" s="61" t="str">
        <x:v>None reported</x:v>
      </x:c>
      <x:c r="M26" s="61" t="str">
        <x:v>None reported</x:v>
      </x:c>
      <x:c r="N26" s="54" t="str">
        <x:v>DEMO_INSURANCE</x:v>
      </x:c>
      <x:c r="O26" s="54" t="str">
        <x:v>RESERVE</x:v>
      </x:c>
      <x:c r="P26" s="55" t="b">
        <x:v>1</x:v>
      </x:c>
      <x:c r="Q26" s="55" t="b">
        <x:v>1</x:v>
      </x:c>
    </x:row>
    <x:row r="27" ht="36" customHeight="1">
      <x:c r="A27" s="54" t="str">
        <x:v>HSP-002-P001</x:v>
      </x:c>
      <x:c r="B27" s="54" t="str">
        <x:v>HSP-002</x:v>
      </x:c>
      <x:c r="C27" s="54" t="str">
        <x:v>MRN-002-001</x:v>
      </x:c>
      <x:c r="D27" s="54" t="str">
        <x:v>Saanvi Chauhan</x:v>
      </x:c>
      <x:c r="E27" s="59" t="n">
        <x:v>44029</x:v>
      </x:c>
      <x:c r="F27" s="54" t="n">
        <x:v>6</x:v>
      </x:c>
      <x:c r="G27" s="54" t="str">
        <x:v>Male</x:v>
      </x:c>
      <x:c r="H27" s="54" t="str">
        <x:v>+91-00000-00026</x:v>
      </x:c>
      <x:c r="I27" s="54" t="str">
        <x:v>hsp-002-p001@example.invalid</x:v>
      </x:c>
      <x:c r="J27" s="54" t="str">
        <x:v>B+</x:v>
      </x:c>
      <x:c r="K27" s="61" t="str">
        <x:v>No known allergy reported</x:v>
      </x:c>
      <x:c r="L27" s="61" t="str">
        <x:v>None reported</x:v>
      </x:c>
      <x:c r="M27" s="61" t="str">
        <x:v>None reported</x:v>
      </x:c>
      <x:c r="N27" s="54" t="str">
        <x:v>GOVT_DEMO</x:v>
      </x:c>
      <x:c r="O27" s="54" t="str">
        <x:v>LIVE</x:v>
      </x:c>
      <x:c r="P27" s="55" t="b">
        <x:v>0</x:v>
      </x:c>
      <x:c r="Q27" s="55" t="b">
        <x:v>1</x:v>
      </x:c>
    </x:row>
    <x:row r="28" ht="36" customHeight="1">
      <x:c r="A28" s="54" t="str">
        <x:v>HSP-002-P002</x:v>
      </x:c>
      <x:c r="B28" s="54" t="str">
        <x:v>HSP-002</x:v>
      </x:c>
      <x:c r="C28" s="54" t="str">
        <x:v>MRN-002-002</x:v>
      </x:c>
      <x:c r="D28" s="54" t="str">
        <x:v>Samir Goyal</x:v>
      </x:c>
      <x:c r="E28" s="59" t="n">
        <x:v>39356</x:v>
      </x:c>
      <x:c r="F28" s="54" t="n">
        <x:v>19</x:v>
      </x:c>
      <x:c r="G28" s="54" t="str">
        <x:v>Male</x:v>
      </x:c>
      <x:c r="H28" s="54" t="str">
        <x:v>+91-00000-00027</x:v>
      </x:c>
      <x:c r="I28" s="54" t="str">
        <x:v>hsp-002-p002@example.invalid</x:v>
      </x:c>
      <x:c r="J28" s="54" t="str">
        <x:v>AB+</x:v>
      </x:c>
      <x:c r="K28" s="61" t="str">
        <x:v>No known allergy reported</x:v>
      </x:c>
      <x:c r="L28" s="61" t="str">
        <x:v>None reported</x:v>
      </x:c>
      <x:c r="M28" s="61" t="str">
        <x:v>None reported</x:v>
      </x:c>
      <x:c r="N28" s="54" t="str">
        <x:v>SELF_PAY</x:v>
      </x:c>
      <x:c r="O28" s="54" t="str">
        <x:v>LIVE</x:v>
      </x:c>
      <x:c r="P28" s="55" t="b">
        <x:v>0</x:v>
      </x:c>
      <x:c r="Q28" s="55" t="b">
        <x:v>1</x:v>
      </x:c>
    </x:row>
    <x:row r="29" ht="36" customHeight="1">
      <x:c r="A29" s="54" t="str">
        <x:v>HSP-002-P003</x:v>
      </x:c>
      <x:c r="B29" s="54" t="str">
        <x:v>HSP-002</x:v>
      </x:c>
      <x:c r="C29" s="54" t="str">
        <x:v>MRN-002-003</x:v>
      </x:c>
      <x:c r="D29" s="54" t="str">
        <x:v>Siya Kapoor</x:v>
      </x:c>
      <x:c r="E29" s="59" t="n">
        <x:v>34078</x:v>
      </x:c>
      <x:c r="F29" s="54" t="n">
        <x:v>33</x:v>
      </x:c>
      <x:c r="G29" s="54" t="str">
        <x:v>Female</x:v>
      </x:c>
      <x:c r="H29" s="54" t="str">
        <x:v>+91-00000-00028</x:v>
      </x:c>
      <x:c r="I29" s="54" t="str">
        <x:v>hsp-002-p003@example.invalid</x:v>
      </x:c>
      <x:c r="J29" s="54" t="str">
        <x:v>O-</x:v>
      </x:c>
      <x:c r="K29" s="61" t="str">
        <x:v>No known allergy reported</x:v>
      </x:c>
      <x:c r="L29" s="61" t="str">
        <x:v>None reported</x:v>
      </x:c>
      <x:c r="M29" s="61" t="str">
        <x:v>None reported</x:v>
      </x:c>
      <x:c r="N29" s="54" t="str">
        <x:v>DEMO_INSURANCE</x:v>
      </x:c>
      <x:c r="O29" s="54" t="str">
        <x:v>LIVE</x:v>
      </x:c>
      <x:c r="P29" s="55" t="b">
        <x:v>0</x:v>
      </x:c>
      <x:c r="Q29" s="55" t="b">
        <x:v>1</x:v>
      </x:c>
    </x:row>
    <x:row r="30" ht="36" customHeight="1">
      <x:c r="A30" s="54" t="str">
        <x:v>HSP-002-P004</x:v>
      </x:c>
      <x:c r="B30" s="54" t="str">
        <x:v>HSP-002</x:v>
      </x:c>
      <x:c r="C30" s="54" t="str">
        <x:v>MRN-002-004</x:v>
      </x:c>
      <x:c r="D30" s="54" t="str">
        <x:v>Veer Mehta</x:v>
      </x:c>
      <x:c r="E30" s="59" t="n">
        <x:v>22667</x:v>
      </x:c>
      <x:c r="F30" s="54" t="n">
        <x:v>64</x:v>
      </x:c>
      <x:c r="G30" s="54" t="str">
        <x:v>Male</x:v>
      </x:c>
      <x:c r="H30" s="54" t="str">
        <x:v>+91-00000-00029</x:v>
      </x:c>
      <x:c r="I30" s="54" t="str">
        <x:v>hsp-002-p004@example.invalid</x:v>
      </x:c>
      <x:c r="J30" s="54" t="str">
        <x:v>O+</x:v>
      </x:c>
      <x:c r="K30" s="61" t="str">
        <x:v>No known allergy reported</x:v>
      </x:c>
      <x:c r="L30" s="61" t="str">
        <x:v>Hypertension</x:v>
      </x:c>
      <x:c r="M30" s="61" t="str">
        <x:v>Patient-reported antihypertensive; verify</x:v>
      </x:c>
      <x:c r="N30" s="54" t="str">
        <x:v>GOVT_DEMO</x:v>
      </x:c>
      <x:c r="O30" s="54" t="str">
        <x:v>LIVE</x:v>
      </x:c>
      <x:c r="P30" s="55" t="b">
        <x:v>0</x:v>
      </x:c>
      <x:c r="Q30" s="55" t="b">
        <x:v>1</x:v>
      </x:c>
    </x:row>
    <x:row r="31" ht="36" customHeight="1">
      <x:c r="A31" s="54" t="str">
        <x:v>HSP-002-P005</x:v>
      </x:c>
      <x:c r="B31" s="54" t="str">
        <x:v>HSP-002</x:v>
      </x:c>
      <x:c r="C31" s="54" t="str">
        <x:v>MRN-002-005</x:v>
      </x:c>
      <x:c r="D31" s="54" t="str">
        <x:v>Zara Nair</x:v>
      </x:c>
      <x:c r="E31" s="59" t="n">
        <x:v>29700</x:v>
      </x:c>
      <x:c r="F31" s="54" t="n">
        <x:v>45</x:v>
      </x:c>
      <x:c r="G31" s="54" t="str">
        <x:v>Female</x:v>
      </x:c>
      <x:c r="H31" s="54" t="str">
        <x:v>+91-00000-00030</x:v>
      </x:c>
      <x:c r="I31" s="54" t="str">
        <x:v>hsp-002-p005@example.invalid</x:v>
      </x:c>
      <x:c r="J31" s="54" t="str">
        <x:v>A+</x:v>
      </x:c>
      <x:c r="K31" s="61" t="str">
        <x:v>No known allergy reported</x:v>
      </x:c>
      <x:c r="L31" s="61" t="str">
        <x:v>None reported</x:v>
      </x:c>
      <x:c r="M31" s="61" t="str">
        <x:v>None reported</x:v>
      </x:c>
      <x:c r="N31" s="54" t="str">
        <x:v>SELF_PAY</x:v>
      </x:c>
      <x:c r="O31" s="54" t="str">
        <x:v>LIVE</x:v>
      </x:c>
      <x:c r="P31" s="55" t="b">
        <x:v>0</x:v>
      </x:c>
      <x:c r="Q31" s="55" t="b">
        <x:v>1</x:v>
      </x:c>
    </x:row>
    <x:row r="32" ht="36" customHeight="1">
      <x:c r="A32" s="54" t="str">
        <x:v>HSP-002-P006</x:v>
      </x:c>
      <x:c r="B32" s="54" t="str">
        <x:v>HSP-002</x:v>
      </x:c>
      <x:c r="C32" s="54" t="str">
        <x:v>MRN-002-006</x:v>
      </x:c>
      <x:c r="D32" s="54" t="str">
        <x:v>Aanya Reddy</x:v>
      </x:c>
      <x:c r="E32" s="59" t="n">
        <x:v>36440</x:v>
      </x:c>
      <x:c r="F32" s="54" t="n">
        <x:v>27</x:v>
      </x:c>
      <x:c r="G32" s="54" t="str">
        <x:v>Male</x:v>
      </x:c>
      <x:c r="H32" s="54" t="str">
        <x:v>+91-00000-00031</x:v>
      </x:c>
      <x:c r="I32" s="54" t="str">
        <x:v>hsp-002-p006@example.invalid</x:v>
      </x:c>
      <x:c r="J32" s="54" t="str">
        <x:v>B+</x:v>
      </x:c>
      <x:c r="K32" s="61" t="str">
        <x:v>No known allergy reported</x:v>
      </x:c>
      <x:c r="L32" s="61" t="str">
        <x:v>None reported</x:v>
      </x:c>
      <x:c r="M32" s="61" t="str">
        <x:v>None reported</x:v>
      </x:c>
      <x:c r="N32" s="54" t="str">
        <x:v>DEMO_INSURANCE</x:v>
      </x:c>
      <x:c r="O32" s="54" t="str">
        <x:v>LIVE</x:v>
      </x:c>
      <x:c r="P32" s="55" t="b">
        <x:v>0</x:v>
      </x:c>
      <x:c r="Q32" s="55" t="b">
        <x:v>1</x:v>
      </x:c>
    </x:row>
    <x:row r="33" ht="36" customHeight="1">
      <x:c r="A33" s="54" t="str">
        <x:v>HSP-002-P007</x:v>
      </x:c>
      <x:c r="B33" s="54" t="str">
        <x:v>HSP-002</x:v>
      </x:c>
      <x:c r="C33" s="54" t="str">
        <x:v>MRN-002-007</x:v>
      </x:c>
      <x:c r="D33" s="54" t="str">
        <x:v>Aditi Shah</x:v>
      </x:c>
      <x:c r="E33" s="59" t="n">
        <x:v>27948</x:v>
      </x:c>
      <x:c r="F33" s="54" t="n">
        <x:v>50</x:v>
      </x:c>
      <x:c r="G33" s="54" t="str">
        <x:v>Female</x:v>
      </x:c>
      <x:c r="H33" s="54" t="str">
        <x:v>+91-00000-00032</x:v>
      </x:c>
      <x:c r="I33" s="54" t="str">
        <x:v>hsp-002-p007@example.invalid</x:v>
      </x:c>
      <x:c r="J33" s="54" t="str">
        <x:v>AB+</x:v>
      </x:c>
      <x:c r="K33" s="61" t="str">
        <x:v>No known allergy reported</x:v>
      </x:c>
      <x:c r="L33" s="61" t="str">
        <x:v>Type 2 diabetes</x:v>
      </x:c>
      <x:c r="M33" s="61" t="str">
        <x:v>Patient-reported diabetes medicine; verify</x:v>
      </x:c>
      <x:c r="N33" s="54" t="str">
        <x:v>GOVT_DEMO</x:v>
      </x:c>
      <x:c r="O33" s="54" t="str">
        <x:v>LIVE</x:v>
      </x:c>
      <x:c r="P33" s="55" t="b">
        <x:v>0</x:v>
      </x:c>
      <x:c r="Q33" s="55" t="b">
        <x:v>1</x:v>
      </x:c>
    </x:row>
    <x:row r="34" ht="36" customHeight="1">
      <x:c r="A34" s="54" t="str">
        <x:v>HSP-002-P008</x:v>
      </x:c>
      <x:c r="B34" s="54" t="str">
        <x:v>HSP-002</x:v>
      </x:c>
      <x:c r="C34" s="54" t="str">
        <x:v>MRN-002-008</x:v>
      </x:c>
      <x:c r="D34" s="54" t="str">
        <x:v>Advait Verma</x:v>
      </x:c>
      <x:c r="E34" s="59" t="n">
        <x:v>32329</x:v>
      </x:c>
      <x:c r="F34" s="54" t="n">
        <x:v>38</x:v>
      </x:c>
      <x:c r="G34" s="54" t="str">
        <x:v>Male</x:v>
      </x:c>
      <x:c r="H34" s="54" t="str">
        <x:v>+91-00000-00033</x:v>
      </x:c>
      <x:c r="I34" s="54" t="str">
        <x:v>hsp-002-p008@example.invalid</x:v>
      </x:c>
      <x:c r="J34" s="54" t="str">
        <x:v>O-</x:v>
      </x:c>
      <x:c r="K34" s="61" t="str">
        <x:v>No known allergy reported</x:v>
      </x:c>
      <x:c r="L34" s="61" t="str">
        <x:v>None reported</x:v>
      </x:c>
      <x:c r="M34" s="61" t="str">
        <x:v>None reported</x:v>
      </x:c>
      <x:c r="N34" s="54" t="str">
        <x:v>SELF_PAY</x:v>
      </x:c>
      <x:c r="O34" s="54" t="str">
        <x:v>LIVE</x:v>
      </x:c>
      <x:c r="P34" s="55" t="b">
        <x:v>0</x:v>
      </x:c>
      <x:c r="Q34" s="55" t="b">
        <x:v>1</x:v>
      </x:c>
    </x:row>
    <x:row r="35" ht="36" customHeight="1">
      <x:c r="A35" s="54" t="str">
        <x:v>HSP-002-P009</x:v>
      </x:c>
      <x:c r="B35" s="54" t="str">
        <x:v>HSP-002</x:v>
      </x:c>
      <x:c r="C35" s="54" t="str">
        <x:v>MRN-002-009</x:v>
      </x:c>
      <x:c r="D35" s="54" t="str">
        <x:v>Aisha Bhat</x:v>
      </x:c>
      <x:c r="E35" s="59" t="n">
        <x:v>34983</x:v>
      </x:c>
      <x:c r="F35" s="54" t="n">
        <x:v>31</x:v>
      </x:c>
      <x:c r="G35" s="54" t="str">
        <x:v>Female</x:v>
      </x:c>
      <x:c r="H35" s="54" t="str">
        <x:v>+91-00000-00034</x:v>
      </x:c>
      <x:c r="I35" s="54" t="str">
        <x:v>hsp-002-p009@example.invalid</x:v>
      </x:c>
      <x:c r="J35" s="54" t="str">
        <x:v>O+</x:v>
      </x:c>
      <x:c r="K35" s="61" t="str">
        <x:v>No known allergy reported</x:v>
      </x:c>
      <x:c r="L35" s="61" t="str">
        <x:v>Asthma</x:v>
      </x:c>
      <x:c r="M35" s="61" t="str">
        <x:v>Patient-reported inhaler; verify</x:v>
      </x:c>
      <x:c r="N35" s="54" t="str">
        <x:v>DEMO_INSURANCE</x:v>
      </x:c>
      <x:c r="O35" s="54" t="str">
        <x:v>LIVE</x:v>
      </x:c>
      <x:c r="P35" s="55" t="b">
        <x:v>0</x:v>
      </x:c>
      <x:c r="Q35" s="55" t="b">
        <x:v>1</x:v>
      </x:c>
    </x:row>
    <x:row r="36" ht="36" customHeight="1">
      <x:c r="A36" s="54" t="str">
        <x:v>HSP-002-P010</x:v>
      </x:c>
      <x:c r="B36" s="54" t="str">
        <x:v>HSP-002</x:v>
      </x:c>
      <x:c r="C36" s="54" t="str">
        <x:v>MRN-002-010</x:v>
      </x:c>
      <x:c r="D36" s="54" t="str">
        <x:v>Akshay Fernandes</x:v>
      </x:c>
      <x:c r="E36" s="59" t="n">
        <x:v>25593</x:v>
      </x:c>
      <x:c r="F36" s="54" t="n">
        <x:v>56</x:v>
      </x:c>
      <x:c r="G36" s="54" t="str">
        <x:v>Male</x:v>
      </x:c>
      <x:c r="H36" s="54" t="str">
        <x:v>+91-00000-00035</x:v>
      </x:c>
      <x:c r="I36" s="54" t="str">
        <x:v>hsp-002-p010@example.invalid</x:v>
      </x:c>
      <x:c r="J36" s="54" t="str">
        <x:v>A+</x:v>
      </x:c>
      <x:c r="K36" s="61" t="str">
        <x:v>No known allergy reported</x:v>
      </x:c>
      <x:c r="L36" s="61" t="str">
        <x:v>None reported</x:v>
      </x:c>
      <x:c r="M36" s="61" t="str">
        <x:v>None reported</x:v>
      </x:c>
      <x:c r="N36" s="54" t="str">
        <x:v>GOVT_DEMO</x:v>
      </x:c>
      <x:c r="O36" s="54" t="str">
        <x:v>LIVE</x:v>
      </x:c>
      <x:c r="P36" s="55" t="b">
        <x:v>0</x:v>
      </x:c>
      <x:c r="Q36" s="55" t="b">
        <x:v>1</x:v>
      </x:c>
    </x:row>
    <x:row r="37" ht="36" customHeight="1">
      <x:c r="A37" s="54" t="str">
        <x:v>HSP-002-P011</x:v>
      </x:c>
      <x:c r="B37" s="54" t="str">
        <x:v>HSP-002</x:v>
      </x:c>
      <x:c r="C37" s="54" t="str">
        <x:v>MRN-002-011</x:v>
      </x:c>
      <x:c r="D37" s="54" t="str">
        <x:v>Amara Jain</x:v>
      </x:c>
      <x:c r="E37" s="59" t="n">
        <x:v>35546</x:v>
      </x:c>
      <x:c r="F37" s="54" t="n">
        <x:v>29</x:v>
      </x:c>
      <x:c r="G37" s="54" t="str">
        <x:v>Male</x:v>
      </x:c>
      <x:c r="H37" s="54" t="str">
        <x:v>+91-00000-00036</x:v>
      </x:c>
      <x:c r="I37" s="54" t="str">
        <x:v>hsp-002-p011@example.invalid</x:v>
      </x:c>
      <x:c r="J37" s="54" t="str">
        <x:v>B+</x:v>
      </x:c>
      <x:c r="K37" s="61" t="str">
        <x:v>No known allergy reported</x:v>
      </x:c>
      <x:c r="L37" s="61" t="str">
        <x:v>None reported</x:v>
      </x:c>
      <x:c r="M37" s="61" t="str">
        <x:v>None reported</x:v>
      </x:c>
      <x:c r="N37" s="54" t="str">
        <x:v>SELF_PAY</x:v>
      </x:c>
      <x:c r="O37" s="54" t="str">
        <x:v>RESERVE</x:v>
      </x:c>
      <x:c r="P37" s="55" t="b">
        <x:v>1</x:v>
      </x:c>
      <x:c r="Q37" s="55" t="b">
        <x:v>1</x:v>
      </x:c>
    </x:row>
    <x:row r="38" ht="36" customHeight="1">
      <x:c r="A38" s="54" t="str">
        <x:v>HSP-002-P012</x:v>
      </x:c>
      <x:c r="B38" s="54" t="str">
        <x:v>HSP-002</x:v>
      </x:c>
      <x:c r="C38" s="54" t="str">
        <x:v>MRN-002-012</x:v>
      </x:c>
      <x:c r="D38" s="54" t="str">
        <x:v>Amit Kulkarni</x:v>
      </x:c>
      <x:c r="E38" s="59" t="n">
        <x:v>32895</x:v>
      </x:c>
      <x:c r="F38" s="54" t="n">
        <x:v>36</x:v>
      </x:c>
      <x:c r="G38" s="54" t="str">
        <x:v>Female</x:v>
      </x:c>
      <x:c r="H38" s="54" t="str">
        <x:v>+91-00000-00037</x:v>
      </x:c>
      <x:c r="I38" s="54" t="str">
        <x:v>hsp-002-p012@example.invalid</x:v>
      </x:c>
      <x:c r="J38" s="54" t="str">
        <x:v>AB+</x:v>
      </x:c>
      <x:c r="K38" s="61" t="str">
        <x:v>No known allergy reported</x:v>
      </x:c>
      <x:c r="L38" s="61" t="str">
        <x:v>None reported</x:v>
      </x:c>
      <x:c r="M38" s="61" t="str">
        <x:v>None reported</x:v>
      </x:c>
      <x:c r="N38" s="54" t="str">
        <x:v>DEMO_INSURANCE</x:v>
      </x:c>
      <x:c r="O38" s="54" t="str">
        <x:v>RESERVE</x:v>
      </x:c>
      <x:c r="P38" s="55" t="b">
        <x:v>1</x:v>
      </x:c>
      <x:c r="Q38" s="55" t="b">
        <x:v>1</x:v>
      </x:c>
    </x:row>
    <x:row r="39" ht="36" customHeight="1">
      <x:c r="A39" s="54" t="str">
        <x:v>HSP-002-P013</x:v>
      </x:c>
      <x:c r="B39" s="54" t="str">
        <x:v>HSP-002</x:v>
      </x:c>
      <x:c r="C39" s="54" t="str">
        <x:v>MRN-002-013</x:v>
      </x:c>
      <x:c r="D39" s="54" t="str">
        <x:v>Anika Mishra</x:v>
      </x:c>
      <x:c r="E39" s="59" t="n">
        <x:v>30607</x:v>
      </x:c>
      <x:c r="F39" s="54" t="n">
        <x:v>43</x:v>
      </x:c>
      <x:c r="G39" s="54" t="str">
        <x:v>Male</x:v>
      </x:c>
      <x:c r="H39" s="54" t="str">
        <x:v>+91-00000-00038</x:v>
      </x:c>
      <x:c r="I39" s="54" t="str">
        <x:v>hsp-002-p013@example.invalid</x:v>
      </x:c>
      <x:c r="J39" s="54" t="str">
        <x:v>O-</x:v>
      </x:c>
      <x:c r="K39" s="61" t="str">
        <x:v>Penicillin (patient reported)</x:v>
      </x:c>
      <x:c r="L39" s="61" t="str">
        <x:v>None reported</x:v>
      </x:c>
      <x:c r="M39" s="61" t="str">
        <x:v>None reported</x:v>
      </x:c>
      <x:c r="N39" s="54" t="str">
        <x:v>GOVT_DEMO</x:v>
      </x:c>
      <x:c r="O39" s="54" t="str">
        <x:v>RESERVE</x:v>
      </x:c>
      <x:c r="P39" s="55" t="b">
        <x:v>1</x:v>
      </x:c>
      <x:c r="Q39" s="55" t="b">
        <x:v>1</x:v>
      </x:c>
    </x:row>
    <x:row r="40" ht="36" customHeight="1">
      <x:c r="A40" s="54" t="str">
        <x:v>HSP-002-P014</x:v>
      </x:c>
      <x:c r="B40" s="54" t="str">
        <x:v>HSP-002</x:v>
      </x:c>
      <x:c r="C40" s="54" t="str">
        <x:v>MRN-002-014</x:v>
      </x:c>
      <x:c r="D40" s="54" t="str">
        <x:v>Arnav Rao</x:v>
      </x:c>
      <x:c r="E40" s="59" t="n">
        <x:v>27955</x:v>
      </x:c>
      <x:c r="F40" s="54" t="n">
        <x:v>50</x:v>
      </x:c>
      <x:c r="G40" s="54" t="str">
        <x:v>Female</x:v>
      </x:c>
      <x:c r="H40" s="54" t="str">
        <x:v>+91-00000-00039</x:v>
      </x:c>
      <x:c r="I40" s="54" t="str">
        <x:v>hsp-002-p014@example.invalid</x:v>
      </x:c>
      <x:c r="J40" s="54" t="str">
        <x:v>O+</x:v>
      </x:c>
      <x:c r="K40" s="61" t="str">
        <x:v>No known allergy reported</x:v>
      </x:c>
      <x:c r="L40" s="61" t="str">
        <x:v>Type 2 diabetes</x:v>
      </x:c>
      <x:c r="M40" s="61" t="str">
        <x:v>Patient-reported diabetes medicine; verify</x:v>
      </x:c>
      <x:c r="N40" s="54" t="str">
        <x:v>SELF_PAY</x:v>
      </x:c>
      <x:c r="O40" s="54" t="str">
        <x:v>RESERVE</x:v>
      </x:c>
      <x:c r="P40" s="55" t="b">
        <x:v>1</x:v>
      </x:c>
      <x:c r="Q40" s="55" t="b">
        <x:v>1</x:v>
      </x:c>
    </x:row>
    <x:row r="41" ht="36" customHeight="1">
      <x:c r="A41" s="54" t="str">
        <x:v>HSP-002-P015</x:v>
      </x:c>
      <x:c r="B41" s="54" t="str">
        <x:v>HSP-002</x:v>
      </x:c>
      <x:c r="C41" s="54" t="str">
        <x:v>MRN-002-015</x:v>
      </x:c>
      <x:c r="D41" s="54" t="str">
        <x:v>Avni Saxena</x:v>
      </x:c>
      <x:c r="E41" s="59" t="n">
        <x:v>25303</x:v>
      </x:c>
      <x:c r="F41" s="54" t="n">
        <x:v>57</x:v>
      </x:c>
      <x:c r="G41" s="54" t="str">
        <x:v>Male</x:v>
      </x:c>
      <x:c r="H41" s="54" t="str">
        <x:v>+91-00000-00040</x:v>
      </x:c>
      <x:c r="I41" s="54" t="str">
        <x:v>hsp-002-p015@example.invalid</x:v>
      </x:c>
      <x:c r="J41" s="54" t="str">
        <x:v>A+</x:v>
      </x:c>
      <x:c r="K41" s="61" t="str">
        <x:v>No known allergy reported</x:v>
      </x:c>
      <x:c r="L41" s="61" t="str">
        <x:v>None reported</x:v>
      </x:c>
      <x:c r="M41" s="61" t="str">
        <x:v>None reported</x:v>
      </x:c>
      <x:c r="N41" s="54" t="str">
        <x:v>DEMO_INSURANCE</x:v>
      </x:c>
      <x:c r="O41" s="54" t="str">
        <x:v>RESERVE</x:v>
      </x:c>
      <x:c r="P41" s="55" t="b">
        <x:v>1</x:v>
      </x:c>
      <x:c r="Q41" s="55" t="b">
        <x:v>1</x:v>
      </x:c>
    </x:row>
    <x:row r="42" ht="36" customHeight="1">
      <x:c r="A42" s="54" t="str">
        <x:v>HSP-002-P016</x:v>
      </x:c>
      <x:c r="B42" s="54" t="str">
        <x:v>HSP-002</x:v>
      </x:c>
      <x:c r="C42" s="54" t="str">
        <x:v>MRN-002-016</x:v>
      </x:c>
      <x:c r="D42" s="54" t="str">
        <x:v>Dev Singh</x:v>
      </x:c>
      <x:c r="E42" s="59" t="n">
        <x:v>22652</x:v>
      </x:c>
      <x:c r="F42" s="54" t="n">
        <x:v>64</x:v>
      </x:c>
      <x:c r="G42" s="54" t="str">
        <x:v>Female</x:v>
      </x:c>
      <x:c r="H42" s="54" t="str">
        <x:v>+91-00000-00041</x:v>
      </x:c>
      <x:c r="I42" s="54" t="str">
        <x:v>hsp-002-p016@example.invalid</x:v>
      </x:c>
      <x:c r="J42" s="54" t="str">
        <x:v>B+</x:v>
      </x:c>
      <x:c r="K42" s="61" t="str">
        <x:v>No known allergy reported</x:v>
      </x:c>
      <x:c r="L42" s="61" t="str">
        <x:v>Hypertension</x:v>
      </x:c>
      <x:c r="M42" s="61" t="str">
        <x:v>Patient-reported antihypertensive; verify</x:v>
      </x:c>
      <x:c r="N42" s="54" t="str">
        <x:v>GOVT_DEMO</x:v>
      </x:c>
      <x:c r="O42" s="54" t="str">
        <x:v>RESERVE</x:v>
      </x:c>
      <x:c r="P42" s="55" t="b">
        <x:v>1</x:v>
      </x:c>
      <x:c r="Q42" s="55" t="b">
        <x:v>1</x:v>
      </x:c>
    </x:row>
    <x:row r="43" ht="36" customHeight="1">
      <x:c r="A43" s="54" t="str">
        <x:v>HSP-002-P017</x:v>
      </x:c>
      <x:c r="B43" s="54" t="str">
        <x:v>HSP-002</x:v>
      </x:c>
      <x:c r="C43" s="54" t="str">
        <x:v>MRN-002-017</x:v>
      </x:c>
      <x:c r="D43" s="54" t="str">
        <x:v>Esha Banerjee</x:v>
      </x:c>
      <x:c r="E43" s="59" t="n">
        <x:v>20364</x:v>
      </x:c>
      <x:c r="F43" s="54" t="n">
        <x:v>71</x:v>
      </x:c>
      <x:c r="G43" s="54" t="str">
        <x:v>Male</x:v>
      </x:c>
      <x:c r="H43" s="54" t="str">
        <x:v>+91-00000-00042</x:v>
      </x:c>
      <x:c r="I43" s="54" t="str">
        <x:v>hsp-002-p017@example.invalid</x:v>
      </x:c>
      <x:c r="J43" s="54" t="str">
        <x:v>AB+</x:v>
      </x:c>
      <x:c r="K43" s="61" t="str">
        <x:v>No known allergy reported</x:v>
      </x:c>
      <x:c r="L43" s="61" t="str">
        <x:v>Hypertension</x:v>
      </x:c>
      <x:c r="M43" s="61" t="str">
        <x:v>Patient-reported antihypertensive; verify</x:v>
      </x:c>
      <x:c r="N43" s="54" t="str">
        <x:v>SELF_PAY</x:v>
      </x:c>
      <x:c r="O43" s="54" t="str">
        <x:v>RESERVE</x:v>
      </x:c>
      <x:c r="P43" s="55" t="b">
        <x:v>1</x:v>
      </x:c>
      <x:c r="Q43" s="55" t="b">
        <x:v>1</x:v>
      </x:c>
    </x:row>
    <x:row r="44" ht="36" customHeight="1">
      <x:c r="A44" s="54" t="str">
        <x:v>HSP-002-P018</x:v>
      </x:c>
      <x:c r="B44" s="54" t="str">
        <x:v>HSP-002</x:v>
      </x:c>
      <x:c r="C44" s="54" t="str">
        <x:v>MRN-002-018</x:v>
      </x:c>
      <x:c r="D44" s="54" t="str">
        <x:v>Ira Desai</x:v>
      </x:c>
      <x:c r="E44" s="59" t="n">
        <x:v>17739</x:v>
      </x:c>
      <x:c r="F44" s="54" t="n">
        <x:v>78</x:v>
      </x:c>
      <x:c r="G44" s="54" t="str">
        <x:v>Female</x:v>
      </x:c>
      <x:c r="H44" s="54" t="str">
        <x:v>+91-00000-00043</x:v>
      </x:c>
      <x:c r="I44" s="54" t="str">
        <x:v>hsp-002-p018@example.invalid</x:v>
      </x:c>
      <x:c r="J44" s="54" t="str">
        <x:v>O-</x:v>
      </x:c>
      <x:c r="K44" s="61" t="str">
        <x:v>No known allergy reported</x:v>
      </x:c>
      <x:c r="L44" s="61" t="str">
        <x:v>Hypertension</x:v>
      </x:c>
      <x:c r="M44" s="61" t="str">
        <x:v>Patient-reported antihypertensive; verify</x:v>
      </x:c>
      <x:c r="N44" s="54" t="str">
        <x:v>DEMO_INSURANCE</x:v>
      </x:c>
      <x:c r="O44" s="54" t="str">
        <x:v>RESERVE</x:v>
      </x:c>
      <x:c r="P44" s="55" t="b">
        <x:v>1</x:v>
      </x:c>
      <x:c r="Q44" s="55" t="b">
        <x:v>1</x:v>
      </x:c>
    </x:row>
    <x:row r="45" ht="36" customHeight="1">
      <x:c r="A45" s="54" t="str">
        <x:v>HSP-002-P019</x:v>
      </x:c>
      <x:c r="B45" s="54" t="str">
        <x:v>HSP-002</x:v>
      </x:c>
      <x:c r="C45" s="54" t="str">
        <x:v>MRN-002-019</x:v>
      </x:c>
      <x:c r="D45" s="54" t="str">
        <x:v>Ishaan Hegde</x:v>
      </x:c>
      <x:c r="E45" s="59" t="n">
        <x:v>42827</x:v>
      </x:c>
      <x:c r="F45" s="54" t="n">
        <x:v>9</x:v>
      </x:c>
      <x:c r="G45" s="54" t="str">
        <x:v>Male</x:v>
      </x:c>
      <x:c r="H45" s="54" t="str">
        <x:v>+91-00000-00044</x:v>
      </x:c>
      <x:c r="I45" s="54" t="str">
        <x:v>hsp-002-p019@example.invalid</x:v>
      </x:c>
      <x:c r="J45" s="54" t="str">
        <x:v>O+</x:v>
      </x:c>
      <x:c r="K45" s="61" t="str">
        <x:v>No known allergy reported</x:v>
      </x:c>
      <x:c r="L45" s="61" t="str">
        <x:v>None reported</x:v>
      </x:c>
      <x:c r="M45" s="61" t="str">
        <x:v>None reported</x:v>
      </x:c>
      <x:c r="N45" s="54" t="str">
        <x:v>GOVT_DEMO</x:v>
      </x:c>
      <x:c r="O45" s="54" t="str">
        <x:v>RESERVE</x:v>
      </x:c>
      <x:c r="P45" s="55" t="b">
        <x:v>1</x:v>
      </x:c>
      <x:c r="Q45" s="55" t="b">
        <x:v>1</x:v>
      </x:c>
    </x:row>
    <x:row r="46" ht="36" customHeight="1">
      <x:c r="A46" s="54" t="str">
        <x:v>HSP-002-P020</x:v>
      </x:c>
      <x:c r="B46" s="54" t="str">
        <x:v>HSP-002</x:v>
      </x:c>
      <x:c r="C46" s="54" t="str">
        <x:v>MRN-002-020</x:v>
      </x:c>
      <x:c r="D46" s="54" t="str">
        <x:v>Jai Khan</x:v>
      </x:c>
      <x:c r="E46" s="59" t="n">
        <x:v>40203</x:v>
      </x:c>
      <x:c r="F46" s="54" t="n">
        <x:v>16</x:v>
      </x:c>
      <x:c r="G46" s="54" t="str">
        <x:v>Female</x:v>
      </x:c>
      <x:c r="H46" s="54" t="str">
        <x:v>+91-00000-00045</x:v>
      </x:c>
      <x:c r="I46" s="54" t="str">
        <x:v>hsp-002-p020@example.invalid</x:v>
      </x:c>
      <x:c r="J46" s="54" t="str">
        <x:v>A+</x:v>
      </x:c>
      <x:c r="K46" s="61" t="str">
        <x:v>No known allergy reported</x:v>
      </x:c>
      <x:c r="L46" s="61" t="str">
        <x:v>None reported</x:v>
      </x:c>
      <x:c r="M46" s="61" t="str">
        <x:v>None reported</x:v>
      </x:c>
      <x:c r="N46" s="54" t="str">
        <x:v>SELF_PAY</x:v>
      </x:c>
      <x:c r="O46" s="54" t="str">
        <x:v>RESERVE</x:v>
      </x:c>
      <x:c r="P46" s="55" t="b">
        <x:v>1</x:v>
      </x:c>
      <x:c r="Q46" s="55" t="b">
        <x:v>1</x:v>
      </x:c>
    </x:row>
    <x:row r="47" ht="36" customHeight="1">
      <x:c r="A47" s="54" t="str">
        <x:v>HSP-002-P021</x:v>
      </x:c>
      <x:c r="B47" s="54" t="str">
        <x:v>HSP-002</x:v>
      </x:c>
      <x:c r="C47" s="54" t="str">
        <x:v>MRN-002-021</x:v>
      </x:c>
      <x:c r="D47" s="54" t="str">
        <x:v>Kiran Menon</x:v>
      </x:c>
      <x:c r="E47" s="59" t="n">
        <x:v>37915</x:v>
      </x:c>
      <x:c r="F47" s="54" t="n">
        <x:v>23</x:v>
      </x:c>
      <x:c r="G47" s="54" t="str">
        <x:v>Male</x:v>
      </x:c>
      <x:c r="H47" s="54" t="str">
        <x:v>+91-00000-00046</x:v>
      </x:c>
      <x:c r="I47" s="54" t="str">
        <x:v>hsp-002-p021@example.invalid</x:v>
      </x:c>
      <x:c r="J47" s="54" t="str">
        <x:v>B+</x:v>
      </x:c>
      <x:c r="K47" s="61" t="str">
        <x:v>No known allergy reported</x:v>
      </x:c>
      <x:c r="L47" s="61" t="str">
        <x:v>Type 2 diabetes</x:v>
      </x:c>
      <x:c r="M47" s="61" t="str">
        <x:v>Patient-reported diabetes medicine; verify</x:v>
      </x:c>
      <x:c r="N47" s="54" t="str">
        <x:v>DEMO_INSURANCE</x:v>
      </x:c>
      <x:c r="O47" s="54" t="str">
        <x:v>RESERVE</x:v>
      </x:c>
      <x:c r="P47" s="55" t="b">
        <x:v>1</x:v>
      </x:c>
      <x:c r="Q47" s="55" t="b">
        <x:v>1</x:v>
      </x:c>
    </x:row>
    <x:row r="48" ht="36" customHeight="1">
      <x:c r="A48" s="54" t="str">
        <x:v>HSP-002-P022</x:v>
      </x:c>
      <x:c r="B48" s="54" t="str">
        <x:v>HSP-002</x:v>
      </x:c>
      <x:c r="C48" s="54" t="str">
        <x:v>MRN-002-022</x:v>
      </x:c>
      <x:c r="D48" s="54" t="str">
        <x:v>Krish Patel</x:v>
      </x:c>
      <x:c r="E48" s="59" t="n">
        <x:v>35263</x:v>
      </x:c>
      <x:c r="F48" s="54" t="n">
        <x:v>30</x:v>
      </x:c>
      <x:c r="G48" s="54" t="str">
        <x:v>Female</x:v>
      </x:c>
      <x:c r="H48" s="54" t="str">
        <x:v>+91-00000-00047</x:v>
      </x:c>
      <x:c r="I48" s="54" t="str">
        <x:v>hsp-002-p022@example.invalid</x:v>
      </x:c>
      <x:c r="J48" s="54" t="str">
        <x:v>AB+</x:v>
      </x:c>
      <x:c r="K48" s="61" t="str">
        <x:v>No known allergy reported</x:v>
      </x:c>
      <x:c r="L48" s="61" t="str">
        <x:v>None reported</x:v>
      </x:c>
      <x:c r="M48" s="61" t="str">
        <x:v>None reported</x:v>
      </x:c>
      <x:c r="N48" s="54" t="str">
        <x:v>GOVT_DEMO</x:v>
      </x:c>
      <x:c r="O48" s="54" t="str">
        <x:v>RESERVE</x:v>
      </x:c>
      <x:c r="P48" s="55" t="b">
        <x:v>1</x:v>
      </x:c>
      <x:c r="Q48" s="55" t="b">
        <x:v>1</x:v>
      </x:c>
    </x:row>
    <x:row r="49" ht="36" customHeight="1">
      <x:c r="A49" s="54" t="str">
        <x:v>HSP-002-P023</x:v>
      </x:c>
      <x:c r="B49" s="54" t="str">
        <x:v>HSP-002</x:v>
      </x:c>
      <x:c r="C49" s="54" t="str">
        <x:v>MRN-002-023</x:v>
      </x:c>
      <x:c r="D49" s="54" t="str">
        <x:v>Maya Roy</x:v>
      </x:c>
      <x:c r="E49" s="59" t="n">
        <x:v>32611</x:v>
      </x:c>
      <x:c r="F49" s="54" t="n">
        <x:v>37</x:v>
      </x:c>
      <x:c r="G49" s="54" t="str">
        <x:v>Male</x:v>
      </x:c>
      <x:c r="H49" s="54" t="str">
        <x:v>+91-00000-00048</x:v>
      </x:c>
      <x:c r="I49" s="54" t="str">
        <x:v>hsp-002-p023@example.invalid</x:v>
      </x:c>
      <x:c r="J49" s="54" t="str">
        <x:v>O-</x:v>
      </x:c>
      <x:c r="K49" s="61" t="str">
        <x:v>No known allergy reported</x:v>
      </x:c>
      <x:c r="L49" s="61" t="str">
        <x:v>None reported</x:v>
      </x:c>
      <x:c r="M49" s="61" t="str">
        <x:v>None reported</x:v>
      </x:c>
      <x:c r="N49" s="54" t="str">
        <x:v>SELF_PAY</x:v>
      </x:c>
      <x:c r="O49" s="54" t="str">
        <x:v>RESERVE</x:v>
      </x:c>
      <x:c r="P49" s="55" t="b">
        <x:v>1</x:v>
      </x:c>
      <x:c r="Q49" s="55" t="b">
        <x:v>1</x:v>
      </x:c>
    </x:row>
    <x:row r="50" ht="36" customHeight="1">
      <x:c r="A50" s="54" t="str">
        <x:v>HSP-002-P024</x:v>
      </x:c>
      <x:c r="B50" s="54" t="str">
        <x:v>HSP-002</x:v>
      </x:c>
      <x:c r="C50" s="54" t="str">
        <x:v>MRN-002-024</x:v>
      </x:c>
      <x:c r="D50" s="54" t="str">
        <x:v>Mira Sharma</x:v>
      </x:c>
      <x:c r="E50" s="59" t="n">
        <x:v>29960</x:v>
      </x:c>
      <x:c r="F50" s="54" t="n">
        <x:v>44</x:v>
      </x:c>
      <x:c r="G50" s="54" t="str">
        <x:v>Female</x:v>
      </x:c>
      <x:c r="H50" s="54" t="str">
        <x:v>+91-00000-00049</x:v>
      </x:c>
      <x:c r="I50" s="54" t="str">
        <x:v>hsp-002-p024@example.invalid</x:v>
      </x:c>
      <x:c r="J50" s="54" t="str">
        <x:v>O+</x:v>
      </x:c>
      <x:c r="K50" s="61" t="str">
        <x:v>No known allergy reported</x:v>
      </x:c>
      <x:c r="L50" s="61" t="str">
        <x:v>None reported</x:v>
      </x:c>
      <x:c r="M50" s="61" t="str">
        <x:v>None reported</x:v>
      </x:c>
      <x:c r="N50" s="54" t="str">
        <x:v>DEMO_INSURANCE</x:v>
      </x:c>
      <x:c r="O50" s="54" t="str">
        <x:v>RESERVE</x:v>
      </x:c>
      <x:c r="P50" s="55" t="b">
        <x:v>1</x:v>
      </x:c>
      <x:c r="Q50" s="55" t="b">
        <x:v>1</x:v>
      </x:c>
    </x:row>
    <x:row r="51" ht="36" customHeight="1">
      <x:c r="A51" s="54" t="str">
        <x:v>HSP-002-P025</x:v>
      </x:c>
      <x:c r="B51" s="54" t="str">
        <x:v>HSP-002</x:v>
      </x:c>
      <x:c r="C51" s="54" t="str">
        <x:v>MRN-002-025</x:v>
      </x:c>
      <x:c r="D51" s="54" t="str">
        <x:v>Nikhil Agarwal</x:v>
      </x:c>
      <x:c r="E51" s="59" t="n">
        <x:v>27672</x:v>
      </x:c>
      <x:c r="F51" s="54" t="n">
        <x:v>51</x:v>
      </x:c>
      <x:c r="G51" s="54" t="str">
        <x:v>Male</x:v>
      </x:c>
      <x:c r="H51" s="54" t="str">
        <x:v>+91-00000-00050</x:v>
      </x:c>
      <x:c r="I51" s="54" t="str">
        <x:v>hsp-002-p025@example.invalid</x:v>
      </x:c>
      <x:c r="J51" s="54" t="str">
        <x:v>A+</x:v>
      </x:c>
      <x:c r="K51" s="61" t="str">
        <x:v>No known allergy reported</x:v>
      </x:c>
      <x:c r="L51" s="61" t="str">
        <x:v>None reported</x:v>
      </x:c>
      <x:c r="M51" s="61" t="str">
        <x:v>None reported</x:v>
      </x:c>
      <x:c r="N51" s="54" t="str">
        <x:v>GOVT_DEMO</x:v>
      </x:c>
      <x:c r="O51" s="54" t="str">
        <x:v>RESERVE</x:v>
      </x:c>
      <x:c r="P51" s="55" t="b">
        <x:v>1</x:v>
      </x:c>
      <x:c r="Q51" s="55" t="b">
        <x:v>1</x:v>
      </x:c>
    </x:row>
    <x:row r="52" ht="36" customHeight="1">
      <x:c r="A52" s="54" t="str">
        <x:v>HSP-003-P001</x:v>
      </x:c>
      <x:c r="B52" s="54" t="str">
        <x:v>HSP-003</x:v>
      </x:c>
      <x:c r="C52" s="54" t="str">
        <x:v>MRN-003-001</x:v>
      </x:c>
      <x:c r="D52" s="54" t="str">
        <x:v>Nisha Chauhan</x:v>
      </x:c>
      <x:c r="E52" s="59" t="n">
        <x:v>36729</x:v>
      </x:c>
      <x:c r="F52" s="54" t="n">
        <x:v>26</x:v>
      </x:c>
      <x:c r="G52" s="54" t="str">
        <x:v>Female</x:v>
      </x:c>
      <x:c r="H52" s="54" t="str">
        <x:v>+91-00000-00051</x:v>
      </x:c>
      <x:c r="I52" s="54" t="str">
        <x:v>hsp-003-p001@example.invalid</x:v>
      </x:c>
      <x:c r="J52" s="54" t="str">
        <x:v>AB+</x:v>
      </x:c>
      <x:c r="K52" s="61" t="str">
        <x:v>No known allergy reported</x:v>
      </x:c>
      <x:c r="L52" s="61" t="str">
        <x:v>None reported</x:v>
      </x:c>
      <x:c r="M52" s="61" t="str">
        <x:v>None reported</x:v>
      </x:c>
      <x:c r="N52" s="54" t="str">
        <x:v>SELF_PAY</x:v>
      </x:c>
      <x:c r="O52" s="54" t="str">
        <x:v>LIVE</x:v>
      </x:c>
      <x:c r="P52" s="55" t="b">
        <x:v>0</x:v>
      </x:c>
      <x:c r="Q52" s="55" t="b">
        <x:v>1</x:v>
      </x:c>
    </x:row>
    <x:row r="53" ht="36" customHeight="1">
      <x:c r="A53" s="54" t="str">
        <x:v>HSP-003-P002</x:v>
      </x:c>
      <x:c r="B53" s="54" t="str">
        <x:v>HSP-003</x:v>
      </x:c>
      <x:c r="C53" s="54" t="str">
        <x:v>MRN-003-002</x:v>
      </x:c>
      <x:c r="D53" s="54" t="str">
        <x:v>Ravi Goyal</x:v>
      </x:c>
      <x:c r="E53" s="59" t="n">
        <x:v>29136</x:v>
      </x:c>
      <x:c r="F53" s="54" t="n">
        <x:v>47</x:v>
      </x:c>
      <x:c r="G53" s="54" t="str">
        <x:v>Male</x:v>
      </x:c>
      <x:c r="H53" s="54" t="str">
        <x:v>+91-00000-00052</x:v>
      </x:c>
      <x:c r="I53" s="54" t="str">
        <x:v>hsp-003-p002@example.invalid</x:v>
      </x:c>
      <x:c r="J53" s="54" t="str">
        <x:v>O-</x:v>
      </x:c>
      <x:c r="K53" s="61" t="str">
        <x:v>No known allergy reported</x:v>
      </x:c>
      <x:c r="L53" s="61" t="str">
        <x:v>None reported</x:v>
      </x:c>
      <x:c r="M53" s="61" t="str">
        <x:v>None reported</x:v>
      </x:c>
      <x:c r="N53" s="54" t="str">
        <x:v>DEMO_INSURANCE</x:v>
      </x:c>
      <x:c r="O53" s="54" t="str">
        <x:v>LIVE</x:v>
      </x:c>
      <x:c r="P53" s="55" t="b">
        <x:v>0</x:v>
      </x:c>
      <x:c r="Q53" s="55" t="b">
        <x:v>1</x:v>
      </x:c>
    </x:row>
    <x:row r="54" ht="36" customHeight="1">
      <x:c r="A54" s="54" t="str">
        <x:v>HSP-003-P003</x:v>
      </x:c>
      <x:c r="B54" s="54" t="str">
        <x:v>HSP-003</x:v>
      </x:c>
      <x:c r="C54" s="54" t="str">
        <x:v>MRN-003-003</x:v>
      </x:c>
      <x:c r="D54" s="54" t="str">
        <x:v>Reyansh Kapoor</x:v>
      </x:c>
      <x:c r="E54" s="59" t="n">
        <x:v>32057</x:v>
      </x:c>
      <x:c r="F54" s="54" t="n">
        <x:v>39</x:v>
      </x:c>
      <x:c r="G54" s="54" t="str">
        <x:v>Male</x:v>
      </x:c>
      <x:c r="H54" s="54" t="str">
        <x:v>+91-00000-00053</x:v>
      </x:c>
      <x:c r="I54" s="54" t="str">
        <x:v>hsp-003-p003@example.invalid</x:v>
      </x:c>
      <x:c r="J54" s="54" t="str">
        <x:v>O+</x:v>
      </x:c>
      <x:c r="K54" s="61" t="str">
        <x:v>No known allergy reported</x:v>
      </x:c>
      <x:c r="L54" s="61" t="str">
        <x:v>None reported</x:v>
      </x:c>
      <x:c r="M54" s="61" t="str">
        <x:v>None reported</x:v>
      </x:c>
      <x:c r="N54" s="54" t="str">
        <x:v>GOVT_DEMO</x:v>
      </x:c>
      <x:c r="O54" s="54" t="str">
        <x:v>LIVE</x:v>
      </x:c>
      <x:c r="P54" s="55" t="b">
        <x:v>0</x:v>
      </x:c>
      <x:c r="Q54" s="55" t="b">
        <x:v>1</x:v>
      </x:c>
    </x:row>
    <x:row r="55" ht="36" customHeight="1">
      <x:c r="A55" s="54" t="str">
        <x:v>HSP-003-P004</x:v>
      </x:c>
      <x:c r="B55" s="54" t="str">
        <x:v>HSP-003</x:v>
      </x:c>
      <x:c r="C55" s="54" t="str">
        <x:v>MRN-003-004</x:v>
      </x:c>
      <x:c r="D55" s="54" t="str">
        <x:v>Riya Mehta</x:v>
      </x:c>
      <x:c r="E55" s="59" t="n">
        <x:v>38192</x:v>
      </x:c>
      <x:c r="F55" s="54" t="n">
        <x:v>22</x:v>
      </x:c>
      <x:c r="G55" s="54" t="str">
        <x:v>Female</x:v>
      </x:c>
      <x:c r="H55" s="54" t="str">
        <x:v>+91-00000-00054</x:v>
      </x:c>
      <x:c r="I55" s="54" t="str">
        <x:v>hsp-003-p004@example.invalid</x:v>
      </x:c>
      <x:c r="J55" s="54" t="str">
        <x:v>A+</x:v>
      </x:c>
      <x:c r="K55" s="61" t="str">
        <x:v>No known allergy reported</x:v>
      </x:c>
      <x:c r="L55" s="61" t="str">
        <x:v>None reported</x:v>
      </x:c>
      <x:c r="M55" s="61" t="str">
        <x:v>None reported</x:v>
      </x:c>
      <x:c r="N55" s="54" t="str">
        <x:v>SELF_PAY</x:v>
      </x:c>
      <x:c r="O55" s="54" t="str">
        <x:v>LIVE</x:v>
      </x:c>
      <x:c r="P55" s="55" t="b">
        <x:v>0</x:v>
      </x:c>
      <x:c r="Q55" s="55" t="b">
        <x:v>1</x:v>
      </x:c>
    </x:row>
    <x:row r="56" ht="36" customHeight="1">
      <x:c r="A56" s="54" t="str">
        <x:v>HSP-003-P005</x:v>
      </x:c>
      <x:c r="B56" s="54" t="str">
        <x:v>HSP-003</x:v>
      </x:c>
      <x:c r="C56" s="54" t="str">
        <x:v>MRN-003-005</x:v>
      </x:c>
      <x:c r="D56" s="54" t="str">
        <x:v>Rudra Nair</x:v>
      </x:c>
      <x:c r="E56" s="59" t="n">
        <x:v>39653</x:v>
      </x:c>
      <x:c r="F56" s="54" t="n">
        <x:v>18</x:v>
      </x:c>
      <x:c r="G56" s="54" t="str">
        <x:v>Male</x:v>
      </x:c>
      <x:c r="H56" s="54" t="str">
        <x:v>+91-00000-00055</x:v>
      </x:c>
      <x:c r="I56" s="54" t="str">
        <x:v>hsp-003-p005@example.invalid</x:v>
      </x:c>
      <x:c r="J56" s="54" t="str">
        <x:v>B+</x:v>
      </x:c>
      <x:c r="K56" s="61" t="str">
        <x:v>No known allergy reported</x:v>
      </x:c>
      <x:c r="L56" s="61" t="str">
        <x:v>None reported</x:v>
      </x:c>
      <x:c r="M56" s="61" t="str">
        <x:v>None reported</x:v>
      </x:c>
      <x:c r="N56" s="54" t="str">
        <x:v>DEMO_INSURANCE</x:v>
      </x:c>
      <x:c r="O56" s="54" t="str">
        <x:v>LIVE</x:v>
      </x:c>
      <x:c r="P56" s="55" t="b">
        <x:v>0</x:v>
      </x:c>
      <x:c r="Q56" s="55" t="b">
        <x:v>1</x:v>
      </x:c>
    </x:row>
    <x:row r="57" ht="36" customHeight="1">
      <x:c r="A57" s="54" t="str">
        <x:v>HSP-003-P006</x:v>
      </x:c>
      <x:c r="B57" s="54" t="str">
        <x:v>HSP-003</x:v>
      </x:c>
      <x:c r="C57" s="54" t="str">
        <x:v>MRN-003-006</x:v>
      </x:c>
      <x:c r="D57" s="54" t="str">
        <x:v>Saanvi Reddy</x:v>
      </x:c>
      <x:c r="E57" s="59" t="n">
        <x:v>35247</x:v>
      </x:c>
      <x:c r="F57" s="54" t="n">
        <x:v>30</x:v>
      </x:c>
      <x:c r="G57" s="54" t="str">
        <x:v>Female</x:v>
      </x:c>
      <x:c r="H57" s="54" t="str">
        <x:v>+91-00000-00056</x:v>
      </x:c>
      <x:c r="I57" s="54" t="str">
        <x:v>hsp-003-p006@example.invalid</x:v>
      </x:c>
      <x:c r="J57" s="54" t="str">
        <x:v>AB+</x:v>
      </x:c>
      <x:c r="K57" s="61" t="str">
        <x:v>No known allergy reported</x:v>
      </x:c>
      <x:c r="L57" s="61" t="str">
        <x:v>None reported</x:v>
      </x:c>
      <x:c r="M57" s="61" t="str">
        <x:v>None reported</x:v>
      </x:c>
      <x:c r="N57" s="54" t="str">
        <x:v>GOVT_DEMO</x:v>
      </x:c>
      <x:c r="O57" s="54" t="str">
        <x:v>LIVE</x:v>
      </x:c>
      <x:c r="P57" s="55" t="b">
        <x:v>0</x:v>
      </x:c>
      <x:c r="Q57" s="55" t="b">
        <x:v>1</x:v>
      </x:c>
    </x:row>
    <x:row r="58" ht="36" customHeight="1">
      <x:c r="A58" s="54" t="str">
        <x:v>HSP-003-P007</x:v>
      </x:c>
      <x:c r="B58" s="54" t="str">
        <x:v>HSP-003</x:v>
      </x:c>
      <x:c r="C58" s="54" t="str">
        <x:v>MRN-003-007</x:v>
      </x:c>
      <x:c r="D58" s="54" t="str">
        <x:v>Samir Shah</x:v>
      </x:c>
      <x:c r="E58" s="59" t="n">
        <x:v>29970</x:v>
      </x:c>
      <x:c r="F58" s="54" t="n">
        <x:v>44</x:v>
      </x:c>
      <x:c r="G58" s="54" t="str">
        <x:v>Male</x:v>
      </x:c>
      <x:c r="H58" s="54" t="str">
        <x:v>+91-00000-00057</x:v>
      </x:c>
      <x:c r="I58" s="54" t="str">
        <x:v>hsp-003-p007@example.invalid</x:v>
      </x:c>
      <x:c r="J58" s="54" t="str">
        <x:v>O-</x:v>
      </x:c>
      <x:c r="K58" s="61" t="str">
        <x:v>No known allergy reported</x:v>
      </x:c>
      <x:c r="L58" s="61" t="str">
        <x:v>Type 2 diabetes</x:v>
      </x:c>
      <x:c r="M58" s="61" t="str">
        <x:v>Patient-reported diabetes medicine; verify</x:v>
      </x:c>
      <x:c r="N58" s="54" t="str">
        <x:v>SELF_PAY</x:v>
      </x:c>
      <x:c r="O58" s="54" t="str">
        <x:v>LIVE</x:v>
      </x:c>
      <x:c r="P58" s="55" t="b">
        <x:v>0</x:v>
      </x:c>
      <x:c r="Q58" s="55" t="b">
        <x:v>1</x:v>
      </x:c>
    </x:row>
    <x:row r="59" ht="36" customHeight="1">
      <x:c r="A59" s="54" t="str">
        <x:v>HSP-003-P008</x:v>
      </x:c>
      <x:c r="B59" s="54" t="str">
        <x:v>HSP-003</x:v>
      </x:c>
      <x:c r="C59" s="54" t="str">
        <x:v>MRN-003-008</x:v>
      </x:c>
      <x:c r="D59" s="54" t="str">
        <x:v>Siya Verma</x:v>
      </x:c>
      <x:c r="E59" s="59" t="n">
        <x:v>42282</x:v>
      </x:c>
      <x:c r="F59" s="54" t="n">
        <x:v>11</x:v>
      </x:c>
      <x:c r="G59" s="54" t="str">
        <x:v>Female</x:v>
      </x:c>
      <x:c r="H59" s="54" t="str">
        <x:v>+91-00000-00058</x:v>
      </x:c>
      <x:c r="I59" s="54" t="str">
        <x:v>hsp-003-p008@example.invalid</x:v>
      </x:c>
      <x:c r="J59" s="54" t="str">
        <x:v>O+</x:v>
      </x:c>
      <x:c r="K59" s="61" t="str">
        <x:v>No known allergy reported</x:v>
      </x:c>
      <x:c r="L59" s="61" t="str">
        <x:v>None reported</x:v>
      </x:c>
      <x:c r="M59" s="61" t="str">
        <x:v>None reported</x:v>
      </x:c>
      <x:c r="N59" s="54" t="str">
        <x:v>DEMO_INSURANCE</x:v>
      </x:c>
      <x:c r="O59" s="54" t="str">
        <x:v>LIVE</x:v>
      </x:c>
      <x:c r="P59" s="55" t="b">
        <x:v>0</x:v>
      </x:c>
      <x:c r="Q59" s="55" t="b">
        <x:v>1</x:v>
      </x:c>
    </x:row>
    <x:row r="60" ht="36" customHeight="1">
      <x:c r="A60" s="54" t="str">
        <x:v>HSP-003-P009</x:v>
      </x:c>
      <x:c r="B60" s="54" t="str">
        <x:v>HSP-003</x:v>
      </x:c>
      <x:c r="C60" s="54" t="str">
        <x:v>MRN-003-009</x:v>
      </x:c>
      <x:c r="D60" s="54" t="str">
        <x:v>Veer Bhat</x:v>
      </x:c>
      <x:c r="E60" s="59" t="n">
        <x:v>24132</x:v>
      </x:c>
      <x:c r="F60" s="54" t="n">
        <x:v>60</x:v>
      </x:c>
      <x:c r="G60" s="54" t="str">
        <x:v>Male</x:v>
      </x:c>
      <x:c r="H60" s="54" t="str">
        <x:v>+91-00000-00059</x:v>
      </x:c>
      <x:c r="I60" s="54" t="str">
        <x:v>hsp-003-p009@example.invalid</x:v>
      </x:c>
      <x:c r="J60" s="54" t="str">
        <x:v>A+</x:v>
      </x:c>
      <x:c r="K60" s="61" t="str">
        <x:v>No known allergy reported</x:v>
      </x:c>
      <x:c r="L60" s="61" t="str">
        <x:v>Asthma</x:v>
      </x:c>
      <x:c r="M60" s="61" t="str">
        <x:v>Patient-reported inhaler; verify</x:v>
      </x:c>
      <x:c r="N60" s="54" t="str">
        <x:v>GOVT_DEMO</x:v>
      </x:c>
      <x:c r="O60" s="54" t="str">
        <x:v>LIVE</x:v>
      </x:c>
      <x:c r="P60" s="55" t="b">
        <x:v>0</x:v>
      </x:c>
      <x:c r="Q60" s="55" t="b">
        <x:v>1</x:v>
      </x:c>
    </x:row>
    <x:row r="61" ht="36" customHeight="1">
      <x:c r="A61" s="54" t="str">
        <x:v>HSP-003-P010</x:v>
      </x:c>
      <x:c r="B61" s="54" t="str">
        <x:v>HSP-003</x:v>
      </x:c>
      <x:c r="C61" s="54" t="str">
        <x:v>MRN-003-010</x:v>
      </x:c>
      <x:c r="D61" s="54" t="str">
        <x:v>Zara Fernandes</x:v>
      </x:c>
      <x:c r="E61" s="59" t="n">
        <x:v>37005</x:v>
      </x:c>
      <x:c r="F61" s="54" t="n">
        <x:v>25</x:v>
      </x:c>
      <x:c r="G61" s="54" t="str">
        <x:v>Female</x:v>
      </x:c>
      <x:c r="H61" s="54" t="str">
        <x:v>+91-00000-00060</x:v>
      </x:c>
      <x:c r="I61" s="54" t="str">
        <x:v>hsp-003-p010@example.invalid</x:v>
      </x:c>
      <x:c r="J61" s="54" t="str">
        <x:v>B+</x:v>
      </x:c>
      <x:c r="K61" s="61" t="str">
        <x:v>No known allergy reported</x:v>
      </x:c>
      <x:c r="L61" s="61" t="str">
        <x:v>None reported</x:v>
      </x:c>
      <x:c r="M61" s="61" t="str">
        <x:v>None reported</x:v>
      </x:c>
      <x:c r="N61" s="54" t="str">
        <x:v>SELF_PAY</x:v>
      </x:c>
      <x:c r="O61" s="54" t="str">
        <x:v>LIVE</x:v>
      </x:c>
      <x:c r="P61" s="55" t="b">
        <x:v>0</x:v>
      </x:c>
      <x:c r="Q61" s="55" t="b">
        <x:v>1</x:v>
      </x:c>
    </x:row>
    <x:row r="62" ht="36" customHeight="1">
      <x:c r="A62" s="54" t="str">
        <x:v>HSP-003-P011</x:v>
      </x:c>
      <x:c r="B62" s="54" t="str">
        <x:v>HSP-003</x:v>
      </x:c>
      <x:c r="C62" s="54" t="str">
        <x:v>MRN-003-011</x:v>
      </x:c>
      <x:c r="D62" s="54" t="str">
        <x:v>Aanya Jain</x:v>
      </x:c>
      <x:c r="E62" s="59" t="n">
        <x:v>27054</x:v>
      </x:c>
      <x:c r="F62" s="54" t="n">
        <x:v>52</x:v>
      </x:c>
      <x:c r="G62" s="54" t="str">
        <x:v>Female</x:v>
      </x:c>
      <x:c r="H62" s="54" t="str">
        <x:v>+91-00000-00061</x:v>
      </x:c>
      <x:c r="I62" s="54" t="str">
        <x:v>hsp-003-p011@example.invalid</x:v>
      </x:c>
      <x:c r="J62" s="54" t="str">
        <x:v>AB+</x:v>
      </x:c>
      <x:c r="K62" s="61" t="str">
        <x:v>No known allergy reported</x:v>
      </x:c>
      <x:c r="L62" s="61" t="str">
        <x:v>None reported</x:v>
      </x:c>
      <x:c r="M62" s="61" t="str">
        <x:v>None reported</x:v>
      </x:c>
      <x:c r="N62" s="54" t="str">
        <x:v>DEMO_INSURANCE</x:v>
      </x:c>
      <x:c r="O62" s="54" t="str">
        <x:v>RESERVE</x:v>
      </x:c>
      <x:c r="P62" s="55" t="b">
        <x:v>1</x:v>
      </x:c>
      <x:c r="Q62" s="55" t="b">
        <x:v>1</x:v>
      </x:c>
    </x:row>
    <x:row r="63" ht="36" customHeight="1">
      <x:c r="A63" s="54" t="str">
        <x:v>HSP-003-P012</x:v>
      </x:c>
      <x:c r="B63" s="54" t="str">
        <x:v>HSP-003</x:v>
      </x:c>
      <x:c r="C63" s="54" t="str">
        <x:v>MRN-003-012</x:v>
      </x:c>
      <x:c r="D63" s="54" t="str">
        <x:v>Aditi Kulkarni</x:v>
      </x:c>
      <x:c r="E63" s="59" t="n">
        <x:v>24766</x:v>
      </x:c>
      <x:c r="F63" s="54" t="n">
        <x:v>59</x:v>
      </x:c>
      <x:c r="G63" s="54" t="str">
        <x:v>Male</x:v>
      </x:c>
      <x:c r="H63" s="54" t="str">
        <x:v>+91-00000-00062</x:v>
      </x:c>
      <x:c r="I63" s="54" t="str">
        <x:v>hsp-003-p012@example.invalid</x:v>
      </x:c>
      <x:c r="J63" s="54" t="str">
        <x:v>O-</x:v>
      </x:c>
      <x:c r="K63" s="61" t="str">
        <x:v>No known allergy reported</x:v>
      </x:c>
      <x:c r="L63" s="61" t="str">
        <x:v>None reported</x:v>
      </x:c>
      <x:c r="M63" s="61" t="str">
        <x:v>None reported</x:v>
      </x:c>
      <x:c r="N63" s="54" t="str">
        <x:v>GOVT_DEMO</x:v>
      </x:c>
      <x:c r="O63" s="54" t="str">
        <x:v>RESERVE</x:v>
      </x:c>
      <x:c r="P63" s="55" t="b">
        <x:v>1</x:v>
      </x:c>
      <x:c r="Q63" s="55" t="b">
        <x:v>1</x:v>
      </x:c>
    </x:row>
    <x:row r="64" ht="36" customHeight="1">
      <x:c r="A64" s="54" t="str">
        <x:v>HSP-003-P013</x:v>
      </x:c>
      <x:c r="B64" s="54" t="str">
        <x:v>HSP-003</x:v>
      </x:c>
      <x:c r="C64" s="54" t="str">
        <x:v>MRN-003-013</x:v>
      </x:c>
      <x:c r="D64" s="54" t="str">
        <x:v>Advait Mishra</x:v>
      </x:c>
      <x:c r="E64" s="59" t="n">
        <x:v>22114</x:v>
      </x:c>
      <x:c r="F64" s="54" t="n">
        <x:v>66</x:v>
      </x:c>
      <x:c r="G64" s="54" t="str">
        <x:v>Female</x:v>
      </x:c>
      <x:c r="H64" s="54" t="str">
        <x:v>+91-00000-00063</x:v>
      </x:c>
      <x:c r="I64" s="54" t="str">
        <x:v>hsp-003-p013@example.invalid</x:v>
      </x:c>
      <x:c r="J64" s="54" t="str">
        <x:v>O+</x:v>
      </x:c>
      <x:c r="K64" s="61" t="str">
        <x:v>Penicillin (patient reported)</x:v>
      </x:c>
      <x:c r="L64" s="61" t="str">
        <x:v>Hypertension</x:v>
      </x:c>
      <x:c r="M64" s="61" t="str">
        <x:v>Patient-reported antihypertensive; verify</x:v>
      </x:c>
      <x:c r="N64" s="54" t="str">
        <x:v>SELF_PAY</x:v>
      </x:c>
      <x:c r="O64" s="54" t="str">
        <x:v>RESERVE</x:v>
      </x:c>
      <x:c r="P64" s="55" t="b">
        <x:v>1</x:v>
      </x:c>
      <x:c r="Q64" s="55" t="b">
        <x:v>1</x:v>
      </x:c>
    </x:row>
    <x:row r="65" ht="36" customHeight="1">
      <x:c r="A65" s="54" t="str">
        <x:v>HSP-003-P014</x:v>
      </x:c>
      <x:c r="B65" s="54" t="str">
        <x:v>HSP-003</x:v>
      </x:c>
      <x:c r="C65" s="54" t="str">
        <x:v>MRN-003-014</x:v>
      </x:c>
      <x:c r="D65" s="54" t="str">
        <x:v>Aisha Rao</x:v>
      </x:c>
      <x:c r="E65" s="59" t="n">
        <x:v>19462</x:v>
      </x:c>
      <x:c r="F65" s="54" t="n">
        <x:v>73</x:v>
      </x:c>
      <x:c r="G65" s="54" t="str">
        <x:v>Male</x:v>
      </x:c>
      <x:c r="H65" s="54" t="str">
        <x:v>+91-00000-00064</x:v>
      </x:c>
      <x:c r="I65" s="54" t="str">
        <x:v>hsp-003-p014@example.invalid</x:v>
      </x:c>
      <x:c r="J65" s="54" t="str">
        <x:v>A+</x:v>
      </x:c>
      <x:c r="K65" s="61" t="str">
        <x:v>No known allergy reported</x:v>
      </x:c>
      <x:c r="L65" s="61" t="str">
        <x:v>Hypertension</x:v>
      </x:c>
      <x:c r="M65" s="61" t="str">
        <x:v>Patient-reported antihypertensive; verify</x:v>
      </x:c>
      <x:c r="N65" s="54" t="str">
        <x:v>DEMO_INSURANCE</x:v>
      </x:c>
      <x:c r="O65" s="54" t="str">
        <x:v>RESERVE</x:v>
      </x:c>
      <x:c r="P65" s="55" t="b">
        <x:v>1</x:v>
      </x:c>
      <x:c r="Q65" s="55" t="b">
        <x:v>1</x:v>
      </x:c>
    </x:row>
    <x:row r="66" ht="36" customHeight="1">
      <x:c r="A66" s="54" t="str">
        <x:v>HSP-003-P015</x:v>
      </x:c>
      <x:c r="B66" s="54" t="str">
        <x:v>HSP-003</x:v>
      </x:c>
      <x:c r="C66" s="54" t="str">
        <x:v>MRN-003-015</x:v>
      </x:c>
      <x:c r="D66" s="54" t="str">
        <x:v>Akshay Saxena</x:v>
      </x:c>
      <x:c r="E66" s="59" t="n">
        <x:v>16811</x:v>
      </x:c>
      <x:c r="F66" s="54" t="n">
        <x:v>80</x:v>
      </x:c>
      <x:c r="G66" s="54" t="str">
        <x:v>Female</x:v>
      </x:c>
      <x:c r="H66" s="54" t="str">
        <x:v>+91-00000-00065</x:v>
      </x:c>
      <x:c r="I66" s="54" t="str">
        <x:v>hsp-003-p015@example.invalid</x:v>
      </x:c>
      <x:c r="J66" s="54" t="str">
        <x:v>B+</x:v>
      </x:c>
      <x:c r="K66" s="61" t="str">
        <x:v>No known allergy reported</x:v>
      </x:c>
      <x:c r="L66" s="61" t="str">
        <x:v>Hypertension</x:v>
      </x:c>
      <x:c r="M66" s="61" t="str">
        <x:v>Patient-reported antihypertensive; verify</x:v>
      </x:c>
      <x:c r="N66" s="54" t="str">
        <x:v>GOVT_DEMO</x:v>
      </x:c>
      <x:c r="O66" s="54" t="str">
        <x:v>RESERVE</x:v>
      </x:c>
      <x:c r="P66" s="55" t="b">
        <x:v>1</x:v>
      </x:c>
      <x:c r="Q66" s="55" t="b">
        <x:v>1</x:v>
      </x:c>
    </x:row>
    <x:row r="67" ht="36" customHeight="1">
      <x:c r="A67" s="54" t="str">
        <x:v>HSP-003-P016</x:v>
      </x:c>
      <x:c r="B67" s="54" t="str">
        <x:v>HSP-003</x:v>
      </x:c>
      <x:c r="C67" s="54" t="str">
        <x:v>MRN-003-016</x:v>
      </x:c>
      <x:c r="D67" s="54" t="str">
        <x:v>Amara Singh</x:v>
      </x:c>
      <x:c r="E67" s="59" t="n">
        <x:v>42290</x:v>
      </x:c>
      <x:c r="F67" s="54" t="n">
        <x:v>11</x:v>
      </x:c>
      <x:c r="G67" s="54" t="str">
        <x:v>Male</x:v>
      </x:c>
      <x:c r="H67" s="54" t="str">
        <x:v>+91-00000-00066</x:v>
      </x:c>
      <x:c r="I67" s="54" t="str">
        <x:v>hsp-003-p016@example.invalid</x:v>
      </x:c>
      <x:c r="J67" s="54" t="str">
        <x:v>AB+</x:v>
      </x:c>
      <x:c r="K67" s="61" t="str">
        <x:v>No known allergy reported</x:v>
      </x:c>
      <x:c r="L67" s="61" t="str">
        <x:v>None reported</x:v>
      </x:c>
      <x:c r="M67" s="61" t="str">
        <x:v>None reported</x:v>
      </x:c>
      <x:c r="N67" s="54" t="str">
        <x:v>SELF_PAY</x:v>
      </x:c>
      <x:c r="O67" s="54" t="str">
        <x:v>RESERVE</x:v>
      </x:c>
      <x:c r="P67" s="55" t="b">
        <x:v>1</x:v>
      </x:c>
      <x:c r="Q67" s="55" t="b">
        <x:v>1</x:v>
      </x:c>
    </x:row>
    <x:row r="68" ht="36" customHeight="1">
      <x:c r="A68" s="54" t="str">
        <x:v>HSP-003-P017</x:v>
      </x:c>
      <x:c r="B68" s="54" t="str">
        <x:v>HSP-003</x:v>
      </x:c>
      <x:c r="C68" s="54" t="str">
        <x:v>MRN-003-017</x:v>
      </x:c>
      <x:c r="D68" s="54" t="str">
        <x:v>Amit Banerjee</x:v>
      </x:c>
      <x:c r="E68" s="59" t="n">
        <x:v>39638</x:v>
      </x:c>
      <x:c r="F68" s="54" t="n">
        <x:v>18</x:v>
      </x:c>
      <x:c r="G68" s="54" t="str">
        <x:v>Female</x:v>
      </x:c>
      <x:c r="H68" s="54" t="str">
        <x:v>+91-00000-00067</x:v>
      </x:c>
      <x:c r="I68" s="54" t="str">
        <x:v>hsp-003-p017@example.invalid</x:v>
      </x:c>
      <x:c r="J68" s="54" t="str">
        <x:v>O-</x:v>
      </x:c>
      <x:c r="K68" s="61" t="str">
        <x:v>No known allergy reported</x:v>
      </x:c>
      <x:c r="L68" s="61" t="str">
        <x:v>None reported</x:v>
      </x:c>
      <x:c r="M68" s="61" t="str">
        <x:v>None reported</x:v>
      </x:c>
      <x:c r="N68" s="54" t="str">
        <x:v>DEMO_INSURANCE</x:v>
      </x:c>
      <x:c r="O68" s="54" t="str">
        <x:v>RESERVE</x:v>
      </x:c>
      <x:c r="P68" s="55" t="b">
        <x:v>1</x:v>
      </x:c>
      <x:c r="Q68" s="55" t="b">
        <x:v>1</x:v>
      </x:c>
    </x:row>
    <x:row r="69" ht="36" customHeight="1">
      <x:c r="A69" s="54" t="str">
        <x:v>HSP-003-P018</x:v>
      </x:c>
      <x:c r="B69" s="54" t="str">
        <x:v>HSP-003</x:v>
      </x:c>
      <x:c r="C69" s="54" t="str">
        <x:v>MRN-003-018</x:v>
      </x:c>
      <x:c r="D69" s="54" t="str">
        <x:v>Anika Desai</x:v>
      </x:c>
      <x:c r="E69" s="59" t="n">
        <x:v>36986</x:v>
      </x:c>
      <x:c r="F69" s="54" t="n">
        <x:v>25</x:v>
      </x:c>
      <x:c r="G69" s="54" t="str">
        <x:v>Male</x:v>
      </x:c>
      <x:c r="H69" s="54" t="str">
        <x:v>+91-00000-00068</x:v>
      </x:c>
      <x:c r="I69" s="54" t="str">
        <x:v>hsp-003-p018@example.invalid</x:v>
      </x:c>
      <x:c r="J69" s="54" t="str">
        <x:v>O+</x:v>
      </x:c>
      <x:c r="K69" s="61" t="str">
        <x:v>No known allergy reported</x:v>
      </x:c>
      <x:c r="L69" s="61" t="str">
        <x:v>Asthma</x:v>
      </x:c>
      <x:c r="M69" s="61" t="str">
        <x:v>Patient-reported inhaler; verify</x:v>
      </x:c>
      <x:c r="N69" s="54" t="str">
        <x:v>GOVT_DEMO</x:v>
      </x:c>
      <x:c r="O69" s="54" t="str">
        <x:v>RESERVE</x:v>
      </x:c>
      <x:c r="P69" s="55" t="b">
        <x:v>1</x:v>
      </x:c>
      <x:c r="Q69" s="55" t="b">
        <x:v>1</x:v>
      </x:c>
    </x:row>
    <x:row r="70" ht="36" customHeight="1">
      <x:c r="A70" s="54" t="str">
        <x:v>HSP-003-P019</x:v>
      </x:c>
      <x:c r="B70" s="54" t="str">
        <x:v>HSP-003</x:v>
      </x:c>
      <x:c r="C70" s="54" t="str">
        <x:v>MRN-003-019</x:v>
      </x:c>
      <x:c r="D70" s="54" t="str">
        <x:v>Arnav Hegde</x:v>
      </x:c>
      <x:c r="E70" s="59" t="n">
        <x:v>34335</x:v>
      </x:c>
      <x:c r="F70" s="54" t="n">
        <x:v>32</x:v>
      </x:c>
      <x:c r="G70" s="54" t="str">
        <x:v>Female</x:v>
      </x:c>
      <x:c r="H70" s="54" t="str">
        <x:v>+91-00000-00069</x:v>
      </x:c>
      <x:c r="I70" s="54" t="str">
        <x:v>hsp-003-p019@example.invalid</x:v>
      </x:c>
      <x:c r="J70" s="54" t="str">
        <x:v>A+</x:v>
      </x:c>
      <x:c r="K70" s="61" t="str">
        <x:v>No known allergy reported</x:v>
      </x:c>
      <x:c r="L70" s="61" t="str">
        <x:v>None reported</x:v>
      </x:c>
      <x:c r="M70" s="61" t="str">
        <x:v>None reported</x:v>
      </x:c>
      <x:c r="N70" s="54" t="str">
        <x:v>SELF_PAY</x:v>
      </x:c>
      <x:c r="O70" s="54" t="str">
        <x:v>RESERVE</x:v>
      </x:c>
      <x:c r="P70" s="55" t="b">
        <x:v>1</x:v>
      </x:c>
      <x:c r="Q70" s="55" t="b">
        <x:v>1</x:v>
      </x:c>
    </x:row>
    <x:row r="71" ht="36" customHeight="1">
      <x:c r="A71" s="54" t="str">
        <x:v>HSP-003-P020</x:v>
      </x:c>
      <x:c r="B71" s="54" t="str">
        <x:v>HSP-003</x:v>
      </x:c>
      <x:c r="C71" s="54" t="str">
        <x:v>MRN-003-020</x:v>
      </x:c>
      <x:c r="D71" s="54" t="str">
        <x:v>Avni Khan</x:v>
      </x:c>
      <x:c r="E71" s="59" t="n">
        <x:v>32074</x:v>
      </x:c>
      <x:c r="F71" s="54" t="n">
        <x:v>39</x:v>
      </x:c>
      <x:c r="G71" s="54" t="str">
        <x:v>Male</x:v>
      </x:c>
      <x:c r="H71" s="54" t="str">
        <x:v>+91-00000-00070</x:v>
      </x:c>
      <x:c r="I71" s="54" t="str">
        <x:v>hsp-003-p020@example.invalid</x:v>
      </x:c>
      <x:c r="J71" s="54" t="str">
        <x:v>B+</x:v>
      </x:c>
      <x:c r="K71" s="61" t="str">
        <x:v>No known allergy reported</x:v>
      </x:c>
      <x:c r="L71" s="61" t="str">
        <x:v>None reported</x:v>
      </x:c>
      <x:c r="M71" s="61" t="str">
        <x:v>None reported</x:v>
      </x:c>
      <x:c r="N71" s="54" t="str">
        <x:v>DEMO_INSURANCE</x:v>
      </x:c>
      <x:c r="O71" s="54" t="str">
        <x:v>RESERVE</x:v>
      </x:c>
      <x:c r="P71" s="55" t="b">
        <x:v>1</x:v>
      </x:c>
      <x:c r="Q71" s="55" t="b">
        <x:v>1</x:v>
      </x:c>
    </x:row>
    <x:row r="72" ht="36" customHeight="1">
      <x:c r="A72" s="54" t="str">
        <x:v>HSP-003-P021</x:v>
      </x:c>
      <x:c r="B72" s="54" t="str">
        <x:v>HSP-003</x:v>
      </x:c>
      <x:c r="C72" s="54" t="str">
        <x:v>MRN-003-021</x:v>
      </x:c>
      <x:c r="D72" s="54" t="str">
        <x:v>Dev Menon</x:v>
      </x:c>
      <x:c r="E72" s="59" t="n">
        <x:v>29422</x:v>
      </x:c>
      <x:c r="F72" s="54" t="n">
        <x:v>46</x:v>
      </x:c>
      <x:c r="G72" s="54" t="str">
        <x:v>Female</x:v>
      </x:c>
      <x:c r="H72" s="54" t="str">
        <x:v>+91-00000-00071</x:v>
      </x:c>
      <x:c r="I72" s="54" t="str">
        <x:v>hsp-003-p021@example.invalid</x:v>
      </x:c>
      <x:c r="J72" s="54" t="str">
        <x:v>AB+</x:v>
      </x:c>
      <x:c r="K72" s="61" t="str">
        <x:v>No known allergy reported</x:v>
      </x:c>
      <x:c r="L72" s="61" t="str">
        <x:v>Type 2 diabetes</x:v>
      </x:c>
      <x:c r="M72" s="61" t="str">
        <x:v>Patient-reported diabetes medicine; verify</x:v>
      </x:c>
      <x:c r="N72" s="54" t="str">
        <x:v>GOVT_DEMO</x:v>
      </x:c>
      <x:c r="O72" s="54" t="str">
        <x:v>RESERVE</x:v>
      </x:c>
      <x:c r="P72" s="55" t="b">
        <x:v>1</x:v>
      </x:c>
      <x:c r="Q72" s="55" t="b">
        <x:v>1</x:v>
      </x:c>
    </x:row>
    <x:row r="73" ht="36" customHeight="1">
      <x:c r="A73" s="54" t="str">
        <x:v>HSP-003-P022</x:v>
      </x:c>
      <x:c r="B73" s="54" t="str">
        <x:v>HSP-003</x:v>
      </x:c>
      <x:c r="C73" s="54" t="str">
        <x:v>MRN-003-022</x:v>
      </x:c>
      <x:c r="D73" s="54" t="str">
        <x:v>Esha Patel</x:v>
      </x:c>
      <x:c r="E73" s="59" t="n">
        <x:v>26770</x:v>
      </x:c>
      <x:c r="F73" s="54" t="n">
        <x:v>53</x:v>
      </x:c>
      <x:c r="G73" s="54" t="str">
        <x:v>Male</x:v>
      </x:c>
      <x:c r="H73" s="54" t="str">
        <x:v>+91-00000-00072</x:v>
      </x:c>
      <x:c r="I73" s="54" t="str">
        <x:v>hsp-003-p022@example.invalid</x:v>
      </x:c>
      <x:c r="J73" s="54" t="str">
        <x:v>O-</x:v>
      </x:c>
      <x:c r="K73" s="61" t="str">
        <x:v>No known allergy reported</x:v>
      </x:c>
      <x:c r="L73" s="61" t="str">
        <x:v>None reported</x:v>
      </x:c>
      <x:c r="M73" s="61" t="str">
        <x:v>None reported</x:v>
      </x:c>
      <x:c r="N73" s="54" t="str">
        <x:v>SELF_PAY</x:v>
      </x:c>
      <x:c r="O73" s="54" t="str">
        <x:v>RESERVE</x:v>
      </x:c>
      <x:c r="P73" s="55" t="b">
        <x:v>1</x:v>
      </x:c>
      <x:c r="Q73" s="55" t="b">
        <x:v>1</x:v>
      </x:c>
    </x:row>
    <x:row r="74" ht="36" customHeight="1">
      <x:c r="A74" s="54" t="str">
        <x:v>HSP-003-P023</x:v>
      </x:c>
      <x:c r="B74" s="54" t="str">
        <x:v>HSP-003</x:v>
      </x:c>
      <x:c r="C74" s="54" t="str">
        <x:v>MRN-003-023</x:v>
      </x:c>
      <x:c r="D74" s="54" t="str">
        <x:v>Ira Roy</x:v>
      </x:c>
      <x:c r="E74" s="59" t="n">
        <x:v>24119</x:v>
      </x:c>
      <x:c r="F74" s="54" t="n">
        <x:v>60</x:v>
      </x:c>
      <x:c r="G74" s="54" t="str">
        <x:v>Female</x:v>
      </x:c>
      <x:c r="H74" s="54" t="str">
        <x:v>+91-00000-00073</x:v>
      </x:c>
      <x:c r="I74" s="54" t="str">
        <x:v>hsp-003-p023@example.invalid</x:v>
      </x:c>
      <x:c r="J74" s="54" t="str">
        <x:v>O+</x:v>
      </x:c>
      <x:c r="K74" s="61" t="str">
        <x:v>No known allergy reported</x:v>
      </x:c>
      <x:c r="L74" s="61" t="str">
        <x:v>None reported</x:v>
      </x:c>
      <x:c r="M74" s="61" t="str">
        <x:v>None reported</x:v>
      </x:c>
      <x:c r="N74" s="54" t="str">
        <x:v>DEMO_INSURANCE</x:v>
      </x:c>
      <x:c r="O74" s="54" t="str">
        <x:v>RESERVE</x:v>
      </x:c>
      <x:c r="P74" s="55" t="b">
        <x:v>1</x:v>
      </x:c>
      <x:c r="Q74" s="55" t="b">
        <x:v>1</x:v>
      </x:c>
    </x:row>
    <x:row r="75" ht="36" customHeight="1">
      <x:c r="A75" s="54" t="str">
        <x:v>HSP-003-P024</x:v>
      </x:c>
      <x:c r="B75" s="54" t="str">
        <x:v>HSP-003</x:v>
      </x:c>
      <x:c r="C75" s="54" t="str">
        <x:v>MRN-003-024</x:v>
      </x:c>
      <x:c r="D75" s="54" t="str">
        <x:v>Ishaan Sharma</x:v>
      </x:c>
      <x:c r="E75" s="59" t="n">
        <x:v>21831</x:v>
      </x:c>
      <x:c r="F75" s="54" t="n">
        <x:v>67</x:v>
      </x:c>
      <x:c r="G75" s="54" t="str">
        <x:v>Male</x:v>
      </x:c>
      <x:c r="H75" s="54" t="str">
        <x:v>+91-00000-00074</x:v>
      </x:c>
      <x:c r="I75" s="54" t="str">
        <x:v>hsp-003-p024@example.invalid</x:v>
      </x:c>
      <x:c r="J75" s="54" t="str">
        <x:v>A+</x:v>
      </x:c>
      <x:c r="K75" s="61" t="str">
        <x:v>No known allergy reported</x:v>
      </x:c>
      <x:c r="L75" s="61" t="str">
        <x:v>Hypertension</x:v>
      </x:c>
      <x:c r="M75" s="61" t="str">
        <x:v>Patient-reported antihypertensive; verify</x:v>
      </x:c>
      <x:c r="N75" s="54" t="str">
        <x:v>GOVT_DEMO</x:v>
      </x:c>
      <x:c r="O75" s="54" t="str">
        <x:v>RESERVE</x:v>
      </x:c>
      <x:c r="P75" s="55" t="b">
        <x:v>1</x:v>
      </x:c>
      <x:c r="Q75" s="55" t="b">
        <x:v>1</x:v>
      </x:c>
    </x:row>
    <x:row r="76" ht="36" customHeight="1">
      <x:c r="A76" s="54" t="str">
        <x:v>HSP-003-P025</x:v>
      </x:c>
      <x:c r="B76" s="54" t="str">
        <x:v>HSP-003</x:v>
      </x:c>
      <x:c r="C76" s="54" t="str">
        <x:v>MRN-003-025</x:v>
      </x:c>
      <x:c r="D76" s="54" t="str">
        <x:v>Jai Agarwal</x:v>
      </x:c>
      <x:c r="E76" s="59" t="n">
        <x:v>19179</x:v>
      </x:c>
      <x:c r="F76" s="54" t="n">
        <x:v>74</x:v>
      </x:c>
      <x:c r="G76" s="54" t="str">
        <x:v>Female</x:v>
      </x:c>
      <x:c r="H76" s="54" t="str">
        <x:v>+91-00000-00075</x:v>
      </x:c>
      <x:c r="I76" s="54" t="str">
        <x:v>hsp-003-p025@example.invalid</x:v>
      </x:c>
      <x:c r="J76" s="54" t="str">
        <x:v>B+</x:v>
      </x:c>
      <x:c r="K76" s="61" t="str">
        <x:v>No known allergy reported</x:v>
      </x:c>
      <x:c r="L76" s="61" t="str">
        <x:v>Hypertension</x:v>
      </x:c>
      <x:c r="M76" s="61" t="str">
        <x:v>Patient-reported antihypertensive; verify</x:v>
      </x:c>
      <x:c r="N76" s="54" t="str">
        <x:v>SELF_PAY</x:v>
      </x:c>
      <x:c r="O76" s="54" t="str">
        <x:v>RESERVE</x:v>
      </x:c>
      <x:c r="P76" s="55" t="b">
        <x:v>1</x:v>
      </x:c>
      <x:c r="Q76" s="55" t="b">
        <x:v>1</x:v>
      </x:c>
    </x:row>
    <x:row r="77" ht="36" customHeight="1">
      <x:c r="A77" s="54" t="str">
        <x:v>HSP-004-P001</x:v>
      </x:c>
      <x:c r="B77" s="54" t="str">
        <x:v>HSP-004</x:v>
      </x:c>
      <x:c r="C77" s="54" t="str">
        <x:v>MRN-004-001</x:v>
      </x:c>
      <x:c r="D77" s="54" t="str">
        <x:v>Kiran Chauhan</x:v>
      </x:c>
      <x:c r="E77" s="59" t="n">
        <x:v>32884</x:v>
      </x:c>
      <x:c r="F77" s="54" t="n">
        <x:v>36</x:v>
      </x:c>
      <x:c r="G77" s="54" t="str">
        <x:v>Male</x:v>
      </x:c>
      <x:c r="H77" s="54" t="str">
        <x:v>+91-00000-00076</x:v>
      </x:c>
      <x:c r="I77" s="54" t="str">
        <x:v>hsp-004-p001@example.invalid</x:v>
      </x:c>
      <x:c r="J77" s="54" t="str">
        <x:v>O-</x:v>
      </x:c>
      <x:c r="K77" s="61" t="str">
        <x:v>No known allergy reported</x:v>
      </x:c>
      <x:c r="L77" s="61" t="str">
        <x:v>None reported</x:v>
      </x:c>
      <x:c r="M77" s="61" t="str">
        <x:v>None reported</x:v>
      </x:c>
      <x:c r="N77" s="54" t="str">
        <x:v>DEMO_INSURANCE</x:v>
      </x:c>
      <x:c r="O77" s="54" t="str">
        <x:v>LIVE</x:v>
      </x:c>
      <x:c r="P77" s="55" t="b">
        <x:v>0</x:v>
      </x:c>
      <x:c r="Q77" s="55" t="b">
        <x:v>1</x:v>
      </x:c>
    </x:row>
    <x:row r="78" ht="36" customHeight="1">
      <x:c r="A78" s="54" t="str">
        <x:v>HSP-004-P002</x:v>
      </x:c>
      <x:c r="B78" s="54" t="str">
        <x:v>HSP-004</x:v>
      </x:c>
      <x:c r="C78" s="54" t="str">
        <x:v>MRN-004-002</x:v>
      </x:c>
      <x:c r="D78" s="54" t="str">
        <x:v>Krish Goyal</x:v>
      </x:c>
      <x:c r="E78" s="59" t="n">
        <x:v>31157</x:v>
      </x:c>
      <x:c r="F78" s="54" t="n">
        <x:v>41</x:v>
      </x:c>
      <x:c r="G78" s="54" t="str">
        <x:v>Female</x:v>
      </x:c>
      <x:c r="H78" s="54" t="str">
        <x:v>+91-00000-00077</x:v>
      </x:c>
      <x:c r="I78" s="54" t="str">
        <x:v>hsp-004-p002@example.invalid</x:v>
      </x:c>
      <x:c r="J78" s="54" t="str">
        <x:v>O+</x:v>
      </x:c>
      <x:c r="K78" s="61" t="str">
        <x:v>No known allergy reported</x:v>
      </x:c>
      <x:c r="L78" s="61" t="str">
        <x:v>None reported</x:v>
      </x:c>
      <x:c r="M78" s="61" t="str">
        <x:v>None reported</x:v>
      </x:c>
      <x:c r="N78" s="54" t="str">
        <x:v>GOVT_DEMO</x:v>
      </x:c>
      <x:c r="O78" s="54" t="str">
        <x:v>LIVE</x:v>
      </x:c>
      <x:c r="P78" s="55" t="b">
        <x:v>0</x:v>
      </x:c>
      <x:c r="Q78" s="55" t="b">
        <x:v>1</x:v>
      </x:c>
    </x:row>
    <x:row r="79" ht="36" customHeight="1">
      <x:c r="A79" s="54" t="str">
        <x:v>HSP-004-P003</x:v>
      </x:c>
      <x:c r="B79" s="54" t="str">
        <x:v>HSP-004</x:v>
      </x:c>
      <x:c r="C79" s="54" t="str">
        <x:v>MRN-004-003</x:v>
      </x:c>
      <x:c r="D79" s="54" t="str">
        <x:v>Maya Kapoor</x:v>
      </x:c>
      <x:c r="E79" s="59" t="n">
        <x:v>33811</x:v>
      </x:c>
      <x:c r="F79" s="54" t="n">
        <x:v>34</x:v>
      </x:c>
      <x:c r="G79" s="54" t="str">
        <x:v>Male</x:v>
      </x:c>
      <x:c r="H79" s="54" t="str">
        <x:v>+91-00000-00078</x:v>
      </x:c>
      <x:c r="I79" s="54" t="str">
        <x:v>hsp-004-p003@example.invalid</x:v>
      </x:c>
      <x:c r="J79" s="54" t="str">
        <x:v>A+</x:v>
      </x:c>
      <x:c r="K79" s="61" t="str">
        <x:v>No known allergy reported</x:v>
      </x:c>
      <x:c r="L79" s="61" t="str">
        <x:v>None reported</x:v>
      </x:c>
      <x:c r="M79" s="61" t="str">
        <x:v>None reported</x:v>
      </x:c>
      <x:c r="N79" s="54" t="str">
        <x:v>SELF_PAY</x:v>
      </x:c>
      <x:c r="O79" s="54" t="str">
        <x:v>LIVE</x:v>
      </x:c>
      <x:c r="P79" s="55" t="b">
        <x:v>0</x:v>
      </x:c>
      <x:c r="Q79" s="55" t="b">
        <x:v>1</x:v>
      </x:c>
    </x:row>
    <x:row r="80" ht="36" customHeight="1">
      <x:c r="A80" s="54" t="str">
        <x:v>HSP-004-P004</x:v>
      </x:c>
      <x:c r="B80" s="54" t="str">
        <x:v>HSP-004</x:v>
      </x:c>
      <x:c r="C80" s="54" t="str">
        <x:v>MRN-004-004</x:v>
      </x:c>
      <x:c r="D80" s="54" t="str">
        <x:v>Mira Mehta</x:v>
      </x:c>
      <x:c r="E80" s="59" t="n">
        <x:v>40187</x:v>
      </x:c>
      <x:c r="F80" s="54" t="n">
        <x:v>16</x:v>
      </x:c>
      <x:c r="G80" s="54" t="str">
        <x:v>Female</x:v>
      </x:c>
      <x:c r="H80" s="54" t="str">
        <x:v>+91-00000-00079</x:v>
      </x:c>
      <x:c r="I80" s="54" t="str">
        <x:v>hsp-004-p004@example.invalid</x:v>
      </x:c>
      <x:c r="J80" s="54" t="str">
        <x:v>B+</x:v>
      </x:c>
      <x:c r="K80" s="61" t="str">
        <x:v>No known allergy reported</x:v>
      </x:c>
      <x:c r="L80" s="61" t="str">
        <x:v>None reported</x:v>
      </x:c>
      <x:c r="M80" s="61" t="str">
        <x:v>None reported</x:v>
      </x:c>
      <x:c r="N80" s="54" t="str">
        <x:v>DEMO_INSURANCE</x:v>
      </x:c>
      <x:c r="O80" s="54" t="str">
        <x:v>LIVE</x:v>
      </x:c>
      <x:c r="P80" s="55" t="b">
        <x:v>0</x:v>
      </x:c>
      <x:c r="Q80" s="55" t="b">
        <x:v>1</x:v>
      </x:c>
    </x:row>
    <x:row r="81" ht="36" customHeight="1">
      <x:c r="A81" s="54" t="str">
        <x:v>HSP-004-P005</x:v>
      </x:c>
      <x:c r="B81" s="54" t="str">
        <x:v>HSP-004</x:v>
      </x:c>
      <x:c r="C81" s="54" t="str">
        <x:v>MRN-004-005</x:v>
      </x:c>
      <x:c r="D81" s="54" t="str">
        <x:v>Nikhil Nair</x:v>
      </x:c>
      <x:c r="E81" s="59" t="n">
        <x:v>19748</x:v>
      </x:c>
      <x:c r="F81" s="54" t="n">
        <x:v>72</x:v>
      </x:c>
      <x:c r="G81" s="54" t="str">
        <x:v>Female</x:v>
      </x:c>
      <x:c r="H81" s="54" t="str">
        <x:v>+91-00000-00080</x:v>
      </x:c>
      <x:c r="I81" s="54" t="str">
        <x:v>hsp-004-p005@example.invalid</x:v>
      </x:c>
      <x:c r="J81" s="54" t="str">
        <x:v>AB+</x:v>
      </x:c>
      <x:c r="K81" s="61" t="str">
        <x:v>No known allergy reported</x:v>
      </x:c>
      <x:c r="L81" s="61" t="str">
        <x:v>Hypertension</x:v>
      </x:c>
      <x:c r="M81" s="61" t="str">
        <x:v>Patient-reported antihypertensive; verify</x:v>
      </x:c>
      <x:c r="N81" s="54" t="str">
        <x:v>GOVT_DEMO</x:v>
      </x:c>
      <x:c r="O81" s="54" t="str">
        <x:v>LIVE</x:v>
      </x:c>
      <x:c r="P81" s="55" t="b">
        <x:v>0</x:v>
      </x:c>
      <x:c r="Q81" s="55" t="b">
        <x:v>1</x:v>
      </x:c>
    </x:row>
    <x:row r="82" ht="36" customHeight="1">
      <x:c r="A82" s="54" t="str">
        <x:v>HSP-004-P006</x:v>
      </x:c>
      <x:c r="B82" s="54" t="str">
        <x:v>HSP-004</x:v>
      </x:c>
      <x:c r="C82" s="54" t="str">
        <x:v>MRN-004-006</x:v>
      </x:c>
      <x:c r="D82" s="54" t="str">
        <x:v>Nisha Reddy</x:v>
      </x:c>
      <x:c r="E82" s="59" t="n">
        <x:v>23300</x:v>
      </x:c>
      <x:c r="F82" s="54" t="n">
        <x:v>63</x:v>
      </x:c>
      <x:c r="G82" s="54" t="str">
        <x:v>Male</x:v>
      </x:c>
      <x:c r="H82" s="54" t="str">
        <x:v>+91-00000-00081</x:v>
      </x:c>
      <x:c r="I82" s="54" t="str">
        <x:v>hsp-004-p006@example.invalid</x:v>
      </x:c>
      <x:c r="J82" s="54" t="str">
        <x:v>O-</x:v>
      </x:c>
      <x:c r="K82" s="61" t="str">
        <x:v>No known allergy reported</x:v>
      </x:c>
      <x:c r="L82" s="61" t="str">
        <x:v>Hypertension</x:v>
      </x:c>
      <x:c r="M82" s="61" t="str">
        <x:v>Patient-reported antihypertensive; verify</x:v>
      </x:c>
      <x:c r="N82" s="54" t="str">
        <x:v>SELF_PAY</x:v>
      </x:c>
      <x:c r="O82" s="54" t="str">
        <x:v>LIVE</x:v>
      </x:c>
      <x:c r="P82" s="55" t="b">
        <x:v>0</x:v>
      </x:c>
      <x:c r="Q82" s="55" t="b">
        <x:v>1</x:v>
      </x:c>
    </x:row>
    <x:row r="83" ht="36" customHeight="1">
      <x:c r="A83" s="54" t="str">
        <x:v>HSP-004-P007</x:v>
      </x:c>
      <x:c r="B83" s="54" t="str">
        <x:v>HSP-004</x:v>
      </x:c>
      <x:c r="C83" s="54" t="str">
        <x:v>MRN-004-007</x:v>
      </x:c>
      <x:c r="D83" s="54" t="str">
        <x:v>Ravi Shah</x:v>
      </x:c>
      <x:c r="E83" s="59" t="n">
        <x:v>32622</x:v>
      </x:c>
      <x:c r="F83" s="54" t="n">
        <x:v>37</x:v>
      </x:c>
      <x:c r="G83" s="54" t="str">
        <x:v>Female</x:v>
      </x:c>
      <x:c r="H83" s="54" t="str">
        <x:v>+91-00000-00082</x:v>
      </x:c>
      <x:c r="I83" s="54" t="str">
        <x:v>hsp-004-p007@example.invalid</x:v>
      </x:c>
      <x:c r="J83" s="54" t="str">
        <x:v>O+</x:v>
      </x:c>
      <x:c r="K83" s="61" t="str">
        <x:v>No known allergy reported</x:v>
      </x:c>
      <x:c r="L83" s="61" t="str">
        <x:v>Type 2 diabetes</x:v>
      </x:c>
      <x:c r="M83" s="61" t="str">
        <x:v>Patient-reported diabetes medicine; verify</x:v>
      </x:c>
      <x:c r="N83" s="54" t="str">
        <x:v>DEMO_INSURANCE</x:v>
      </x:c>
      <x:c r="O83" s="54" t="str">
        <x:v>LIVE</x:v>
      </x:c>
      <x:c r="P83" s="55" t="b">
        <x:v>0</x:v>
      </x:c>
      <x:c r="Q83" s="55" t="b">
        <x:v>1</x:v>
      </x:c>
    </x:row>
    <x:row r="84" ht="36" customHeight="1">
      <x:c r="A84" s="54" t="str">
        <x:v>HSP-004-P008</x:v>
      </x:c>
      <x:c r="B84" s="54" t="str">
        <x:v>HSP-004</x:v>
      </x:c>
      <x:c r="C84" s="54" t="str">
        <x:v>MRN-004-008</x:v>
      </x:c>
      <x:c r="D84" s="54" t="str">
        <x:v>Reyansh Verma</x:v>
      </x:c>
      <x:c r="E84" s="59" t="n">
        <x:v>28216</x:v>
      </x:c>
      <x:c r="F84" s="54" t="n">
        <x:v>49</x:v>
      </x:c>
      <x:c r="G84" s="54" t="str">
        <x:v>Male</x:v>
      </x:c>
      <x:c r="H84" s="54" t="str">
        <x:v>+91-00000-00083</x:v>
      </x:c>
      <x:c r="I84" s="54" t="str">
        <x:v>hsp-004-p008@example.invalid</x:v>
      </x:c>
      <x:c r="J84" s="54" t="str">
        <x:v>A+</x:v>
      </x:c>
      <x:c r="K84" s="61" t="str">
        <x:v>No known allergy reported</x:v>
      </x:c>
      <x:c r="L84" s="61" t="str">
        <x:v>None reported</x:v>
      </x:c>
      <x:c r="M84" s="61" t="str">
        <x:v>None reported</x:v>
      </x:c>
      <x:c r="N84" s="54" t="str">
        <x:v>GOVT_DEMO</x:v>
      </x:c>
      <x:c r="O84" s="54" t="str">
        <x:v>LIVE</x:v>
      </x:c>
      <x:c r="P84" s="55" t="b">
        <x:v>0</x:v>
      </x:c>
      <x:c r="Q84" s="55" t="b">
        <x:v>1</x:v>
      </x:c>
    </x:row>
    <x:row r="85" ht="36" customHeight="1">
      <x:c r="A85" s="54" t="str">
        <x:v>HSP-004-P009</x:v>
      </x:c>
      <x:c r="B85" s="54" t="str">
        <x:v>HSP-004</x:v>
      </x:c>
      <x:c r="C85" s="54" t="str">
        <x:v>MRN-004-009</x:v>
      </x:c>
      <x:c r="D85" s="54" t="str">
        <x:v>Riya Bhat</x:v>
      </x:c>
      <x:c r="E85" s="59" t="n">
        <x:v>35812</x:v>
      </x:c>
      <x:c r="F85" s="54" t="n">
        <x:v>28</x:v>
      </x:c>
      <x:c r="G85" s="54" t="str">
        <x:v>Female</x:v>
      </x:c>
      <x:c r="H85" s="54" t="str">
        <x:v>+91-00000-00084</x:v>
      </x:c>
      <x:c r="I85" s="54" t="str">
        <x:v>hsp-004-p009@example.invalid</x:v>
      </x:c>
      <x:c r="J85" s="54" t="str">
        <x:v>B+</x:v>
      </x:c>
      <x:c r="K85" s="61" t="str">
        <x:v>No known allergy reported</x:v>
      </x:c>
      <x:c r="L85" s="61" t="str">
        <x:v>Asthma</x:v>
      </x:c>
      <x:c r="M85" s="61" t="str">
        <x:v>Patient-reported inhaler; verify</x:v>
      </x:c>
      <x:c r="N85" s="54" t="str">
        <x:v>SELF_PAY</x:v>
      </x:c>
      <x:c r="O85" s="54" t="str">
        <x:v>LIVE</x:v>
      </x:c>
      <x:c r="P85" s="55" t="b">
        <x:v>0</x:v>
      </x:c>
      <x:c r="Q85" s="55" t="b">
        <x:v>1</x:v>
      </x:c>
    </x:row>
    <x:row r="86" ht="36" customHeight="1">
      <x:c r="A86" s="54" t="str">
        <x:v>HSP-004-P010</x:v>
      </x:c>
      <x:c r="B86" s="54" t="str">
        <x:v>HSP-004</x:v>
      </x:c>
      <x:c r="C86" s="54" t="str">
        <x:v>MRN-004-010</x:v>
      </x:c>
      <x:c r="D86" s="54" t="str">
        <x:v>Rudra Fernandes</x:v>
      </x:c>
      <x:c r="E86" s="59" t="n">
        <x:v>27053</x:v>
      </x:c>
      <x:c r="F86" s="54" t="n">
        <x:v>52</x:v>
      </x:c>
      <x:c r="G86" s="54" t="str">
        <x:v>Male</x:v>
      </x:c>
      <x:c r="H86" s="54" t="str">
        <x:v>+91-00000-00085</x:v>
      </x:c>
      <x:c r="I86" s="54" t="str">
        <x:v>hsp-004-p010@example.invalid</x:v>
      </x:c>
      <x:c r="J86" s="54" t="str">
        <x:v>AB+</x:v>
      </x:c>
      <x:c r="K86" s="61" t="str">
        <x:v>No known allergy reported</x:v>
      </x:c>
      <x:c r="L86" s="61" t="str">
        <x:v>None reported</x:v>
      </x:c>
      <x:c r="M86" s="61" t="str">
        <x:v>None reported</x:v>
      </x:c>
      <x:c r="N86" s="54" t="str">
        <x:v>DEMO_INSURANCE</x:v>
      </x:c>
      <x:c r="O86" s="54" t="str">
        <x:v>LIVE</x:v>
      </x:c>
      <x:c r="P86" s="55" t="b">
        <x:v>0</x:v>
      </x:c>
      <x:c r="Q86" s="55" t="b">
        <x:v>1</x:v>
      </x:c>
    </x:row>
    <x:row r="87" ht="36" customHeight="1">
      <x:c r="A87" s="54" t="str">
        <x:v>HSP-004-P011</x:v>
      </x:c>
      <x:c r="B87" s="54" t="str">
        <x:v>HSP-004</x:v>
      </x:c>
      <x:c r="C87" s="54" t="str">
        <x:v>MRN-004-011</x:v>
      </x:c>
      <x:c r="D87" s="54" t="str">
        <x:v>Saanvi Jain</x:v>
      </x:c>
      <x:c r="E87" s="59" t="n">
        <x:v>18925</x:v>
      </x:c>
      <x:c r="F87" s="54" t="n">
        <x:v>75</x:v>
      </x:c>
      <x:c r="G87" s="54" t="str">
        <x:v>Male</x:v>
      </x:c>
      <x:c r="H87" s="54" t="str">
        <x:v>+91-00000-00086</x:v>
      </x:c>
      <x:c r="I87" s="54" t="str">
        <x:v>hsp-004-p011@example.invalid</x:v>
      </x:c>
      <x:c r="J87" s="54" t="str">
        <x:v>O-</x:v>
      </x:c>
      <x:c r="K87" s="61" t="str">
        <x:v>No known allergy reported</x:v>
      </x:c>
      <x:c r="L87" s="61" t="str">
        <x:v>Hypertension</x:v>
      </x:c>
      <x:c r="M87" s="61" t="str">
        <x:v>Patient-reported antihypertensive; verify</x:v>
      </x:c>
      <x:c r="N87" s="54" t="str">
        <x:v>GOVT_DEMO</x:v>
      </x:c>
      <x:c r="O87" s="54" t="str">
        <x:v>RESERVE</x:v>
      </x:c>
      <x:c r="P87" s="55" t="b">
        <x:v>1</x:v>
      </x:c>
      <x:c r="Q87" s="55" t="b">
        <x:v>1</x:v>
      </x:c>
    </x:row>
    <x:row r="88" ht="36" customHeight="1">
      <x:c r="A88" s="54" t="str">
        <x:v>HSP-004-P012</x:v>
      </x:c>
      <x:c r="B88" s="54" t="str">
        <x:v>HSP-004</x:v>
      </x:c>
      <x:c r="C88" s="54" t="str">
        <x:v>MRN-004-012</x:v>
      </x:c>
      <x:c r="D88" s="54" t="str">
        <x:v>Samir Kulkarni</x:v>
      </x:c>
      <x:c r="E88" s="59" t="n">
        <x:v>44013</x:v>
      </x:c>
      <x:c r="F88" s="54" t="n">
        <x:v>6</x:v>
      </x:c>
      <x:c r="G88" s="54" t="str">
        <x:v>Female</x:v>
      </x:c>
      <x:c r="H88" s="54" t="str">
        <x:v>+91-00000-00087</x:v>
      </x:c>
      <x:c r="I88" s="54" t="str">
        <x:v>hsp-004-p012@example.invalid</x:v>
      </x:c>
      <x:c r="J88" s="54" t="str">
        <x:v>O+</x:v>
      </x:c>
      <x:c r="K88" s="61" t="str">
        <x:v>No known allergy reported</x:v>
      </x:c>
      <x:c r="L88" s="61" t="str">
        <x:v>None reported</x:v>
      </x:c>
      <x:c r="M88" s="61" t="str">
        <x:v>None reported</x:v>
      </x:c>
      <x:c r="N88" s="54" t="str">
        <x:v>SELF_PAY</x:v>
      </x:c>
      <x:c r="O88" s="54" t="str">
        <x:v>RESERVE</x:v>
      </x:c>
      <x:c r="P88" s="55" t="b">
        <x:v>1</x:v>
      </x:c>
      <x:c r="Q88" s="55" t="b">
        <x:v>1</x:v>
      </x:c>
    </x:row>
    <x:row r="89" ht="36" customHeight="1">
      <x:c r="A89" s="54" t="str">
        <x:v>HSP-004-P013</x:v>
      </x:c>
      <x:c r="B89" s="54" t="str">
        <x:v>HSP-004</x:v>
      </x:c>
      <x:c r="C89" s="54" t="str">
        <x:v>MRN-004-013</x:v>
      </x:c>
      <x:c r="D89" s="54" t="str">
        <x:v>Siya Mishra</x:v>
      </x:c>
      <x:c r="E89" s="59" t="n">
        <x:v>41388</x:v>
      </x:c>
      <x:c r="F89" s="54" t="n">
        <x:v>13</x:v>
      </x:c>
      <x:c r="G89" s="54" t="str">
        <x:v>Male</x:v>
      </x:c>
      <x:c r="H89" s="54" t="str">
        <x:v>+91-00000-00088</x:v>
      </x:c>
      <x:c r="I89" s="54" t="str">
        <x:v>hsp-004-p013@example.invalid</x:v>
      </x:c>
      <x:c r="J89" s="54" t="str">
        <x:v>A+</x:v>
      </x:c>
      <x:c r="K89" s="61" t="str">
        <x:v>Penicillin (patient reported)</x:v>
      </x:c>
      <x:c r="L89" s="61" t="str">
        <x:v>None reported</x:v>
      </x:c>
      <x:c r="M89" s="61" t="str">
        <x:v>None reported</x:v>
      </x:c>
      <x:c r="N89" s="54" t="str">
        <x:v>DEMO_INSURANCE</x:v>
      </x:c>
      <x:c r="O89" s="54" t="str">
        <x:v>RESERVE</x:v>
      </x:c>
      <x:c r="P89" s="55" t="b">
        <x:v>1</x:v>
      </x:c>
      <x:c r="Q89" s="55" t="b">
        <x:v>1</x:v>
      </x:c>
    </x:row>
    <x:row r="90" ht="36" customHeight="1">
      <x:c r="A90" s="54" t="str">
        <x:v>HSP-004-P014</x:v>
      </x:c>
      <x:c r="B90" s="54" t="str">
        <x:v>HSP-004</x:v>
      </x:c>
      <x:c r="C90" s="54" t="str">
        <x:v>MRN-004-014</x:v>
      </x:c>
      <x:c r="D90" s="54" t="str">
        <x:v>Veer Rao</x:v>
      </x:c>
      <x:c r="E90" s="59" t="n">
        <x:v>38737</x:v>
      </x:c>
      <x:c r="F90" s="54" t="n">
        <x:v>20</x:v>
      </x:c>
      <x:c r="G90" s="54" t="str">
        <x:v>Female</x:v>
      </x:c>
      <x:c r="H90" s="54" t="str">
        <x:v>+91-00000-00089</x:v>
      </x:c>
      <x:c r="I90" s="54" t="str">
        <x:v>hsp-004-p014@example.invalid</x:v>
      </x:c>
      <x:c r="J90" s="54" t="str">
        <x:v>B+</x:v>
      </x:c>
      <x:c r="K90" s="61" t="str">
        <x:v>No known allergy reported</x:v>
      </x:c>
      <x:c r="L90" s="61" t="str">
        <x:v>Type 2 diabetes</x:v>
      </x:c>
      <x:c r="M90" s="61" t="str">
        <x:v>Patient-reported diabetes medicine; verify</x:v>
      </x:c>
      <x:c r="N90" s="54" t="str">
        <x:v>GOVT_DEMO</x:v>
      </x:c>
      <x:c r="O90" s="54" t="str">
        <x:v>RESERVE</x:v>
      </x:c>
      <x:c r="P90" s="55" t="b">
        <x:v>1</x:v>
      </x:c>
      <x:c r="Q90" s="55" t="b">
        <x:v>1</x:v>
      </x:c>
    </x:row>
    <x:row r="91" ht="36" customHeight="1">
      <x:c r="A91" s="54" t="str">
        <x:v>HSP-004-P015</x:v>
      </x:c>
      <x:c r="B91" s="54" t="str">
        <x:v>HSP-004</x:v>
      </x:c>
      <x:c r="C91" s="54" t="str">
        <x:v>MRN-004-015</x:v>
      </x:c>
      <x:c r="D91" s="54" t="str">
        <x:v>Zara Saxena</x:v>
      </x:c>
      <x:c r="E91" s="59" t="n">
        <x:v>36449</x:v>
      </x:c>
      <x:c r="F91" s="54" t="n">
        <x:v>27</x:v>
      </x:c>
      <x:c r="G91" s="54" t="str">
        <x:v>Male</x:v>
      </x:c>
      <x:c r="H91" s="54" t="str">
        <x:v>+91-00000-00090</x:v>
      </x:c>
      <x:c r="I91" s="54" t="str">
        <x:v>hsp-004-p015@example.invalid</x:v>
      </x:c>
      <x:c r="J91" s="54" t="str">
        <x:v>AB+</x:v>
      </x:c>
      <x:c r="K91" s="61" t="str">
        <x:v>No known allergy reported</x:v>
      </x:c>
      <x:c r="L91" s="61" t="str">
        <x:v>None reported</x:v>
      </x:c>
      <x:c r="M91" s="61" t="str">
        <x:v>None reported</x:v>
      </x:c>
      <x:c r="N91" s="54" t="str">
        <x:v>SELF_PAY</x:v>
      </x:c>
      <x:c r="O91" s="54" t="str">
        <x:v>RESERVE</x:v>
      </x:c>
      <x:c r="P91" s="55" t="b">
        <x:v>1</x:v>
      </x:c>
      <x:c r="Q91" s="55" t="b">
        <x:v>1</x:v>
      </x:c>
    </x:row>
    <x:row r="92" ht="36" customHeight="1">
      <x:c r="A92" s="54" t="str">
        <x:v>HSP-004-P016</x:v>
      </x:c>
      <x:c r="B92" s="54" t="str">
        <x:v>HSP-004</x:v>
      </x:c>
      <x:c r="C92" s="54" t="str">
        <x:v>MRN-004-016</x:v>
      </x:c>
      <x:c r="D92" s="54" t="str">
        <x:v>Aanya Singh</x:v>
      </x:c>
      <x:c r="E92" s="59" t="n">
        <x:v>33797</x:v>
      </x:c>
      <x:c r="F92" s="54" t="n">
        <x:v>34</x:v>
      </x:c>
      <x:c r="G92" s="54" t="str">
        <x:v>Female</x:v>
      </x:c>
      <x:c r="H92" s="54" t="str">
        <x:v>+91-00000-00091</x:v>
      </x:c>
      <x:c r="I92" s="54" t="str">
        <x:v>hsp-004-p016@example.invalid</x:v>
      </x:c>
      <x:c r="J92" s="54" t="str">
        <x:v>O-</x:v>
      </x:c>
      <x:c r="K92" s="61" t="str">
        <x:v>No known allergy reported</x:v>
      </x:c>
      <x:c r="L92" s="61" t="str">
        <x:v>None reported</x:v>
      </x:c>
      <x:c r="M92" s="61" t="str">
        <x:v>None reported</x:v>
      </x:c>
      <x:c r="N92" s="54" t="str">
        <x:v>DEMO_INSURANCE</x:v>
      </x:c>
      <x:c r="O92" s="54" t="str">
        <x:v>RESERVE</x:v>
      </x:c>
      <x:c r="P92" s="55" t="b">
        <x:v>1</x:v>
      </x:c>
      <x:c r="Q92" s="55" t="b">
        <x:v>1</x:v>
      </x:c>
    </x:row>
    <x:row r="93" ht="36" customHeight="1">
      <x:c r="A93" s="54" t="str">
        <x:v>HSP-004-P017</x:v>
      </x:c>
      <x:c r="B93" s="54" t="str">
        <x:v>HSP-004</x:v>
      </x:c>
      <x:c r="C93" s="54" t="str">
        <x:v>MRN-004-017</x:v>
      </x:c>
      <x:c r="D93" s="54" t="str">
        <x:v>Aditi Banerjee</x:v>
      </x:c>
      <x:c r="E93" s="59" t="n">
        <x:v>31145</x:v>
      </x:c>
      <x:c r="F93" s="54" t="n">
        <x:v>41</x:v>
      </x:c>
      <x:c r="G93" s="54" t="str">
        <x:v>Male</x:v>
      </x:c>
      <x:c r="H93" s="54" t="str">
        <x:v>+91-00000-00092</x:v>
      </x:c>
      <x:c r="I93" s="54" t="str">
        <x:v>hsp-004-p017@example.invalid</x:v>
      </x:c>
      <x:c r="J93" s="54" t="str">
        <x:v>O+</x:v>
      </x:c>
      <x:c r="K93" s="61" t="str">
        <x:v>No known allergy reported</x:v>
      </x:c>
      <x:c r="L93" s="61" t="str">
        <x:v>None reported</x:v>
      </x:c>
      <x:c r="M93" s="61" t="str">
        <x:v>None reported</x:v>
      </x:c>
      <x:c r="N93" s="54" t="str">
        <x:v>GOVT_DEMO</x:v>
      </x:c>
      <x:c r="O93" s="54" t="str">
        <x:v>RESERVE</x:v>
      </x:c>
      <x:c r="P93" s="55" t="b">
        <x:v>1</x:v>
      </x:c>
      <x:c r="Q93" s="55" t="b">
        <x:v>1</x:v>
      </x:c>
    </x:row>
    <x:row r="94" ht="36" customHeight="1">
      <x:c r="A94" s="54" t="str">
        <x:v>HSP-004-P018</x:v>
      </x:c>
      <x:c r="B94" s="54" t="str">
        <x:v>HSP-004</x:v>
      </x:c>
      <x:c r="C94" s="54" t="str">
        <x:v>MRN-004-018</x:v>
      </x:c>
      <x:c r="D94" s="54" t="str">
        <x:v>Advait Desai</x:v>
      </x:c>
      <x:c r="E94" s="59" t="n">
        <x:v>28494</x:v>
      </x:c>
      <x:c r="F94" s="54" t="n">
        <x:v>48</x:v>
      </x:c>
      <x:c r="G94" s="54" t="str">
        <x:v>Female</x:v>
      </x:c>
      <x:c r="H94" s="54" t="str">
        <x:v>+91-00000-00093</x:v>
      </x:c>
      <x:c r="I94" s="54" t="str">
        <x:v>hsp-004-p018@example.invalid</x:v>
      </x:c>
      <x:c r="J94" s="54" t="str">
        <x:v>A+</x:v>
      </x:c>
      <x:c r="K94" s="61" t="str">
        <x:v>No known allergy reported</x:v>
      </x:c>
      <x:c r="L94" s="61" t="str">
        <x:v>Asthma</x:v>
      </x:c>
      <x:c r="M94" s="61" t="str">
        <x:v>Patient-reported inhaler; verify</x:v>
      </x:c>
      <x:c r="N94" s="54" t="str">
        <x:v>SELF_PAY</x:v>
      </x:c>
      <x:c r="O94" s="54" t="str">
        <x:v>RESERVE</x:v>
      </x:c>
      <x:c r="P94" s="55" t="b">
        <x:v>1</x:v>
      </x:c>
      <x:c r="Q94" s="55" t="b">
        <x:v>1</x:v>
      </x:c>
    </x:row>
    <x:row r="95" ht="36" customHeight="1">
      <x:c r="A95" s="54" t="str">
        <x:v>HSP-004-P019</x:v>
      </x:c>
      <x:c r="B95" s="54" t="str">
        <x:v>HSP-004</x:v>
      </x:c>
      <x:c r="C95" s="54" t="str">
        <x:v>MRN-004-019</x:v>
      </x:c>
      <x:c r="D95" s="54" t="str">
        <x:v>Aisha Hegde</x:v>
      </x:c>
      <x:c r="E95" s="59" t="n">
        <x:v>26233</x:v>
      </x:c>
      <x:c r="F95" s="54" t="n">
        <x:v>55</x:v>
      </x:c>
      <x:c r="G95" s="54" t="str">
        <x:v>Male</x:v>
      </x:c>
      <x:c r="H95" s="54" t="str">
        <x:v>+91-00000-00094</x:v>
      </x:c>
      <x:c r="I95" s="54" t="str">
        <x:v>hsp-004-p019@example.invalid</x:v>
      </x:c>
      <x:c r="J95" s="54" t="str">
        <x:v>B+</x:v>
      </x:c>
      <x:c r="K95" s="61" t="str">
        <x:v>No known allergy reported</x:v>
      </x:c>
      <x:c r="L95" s="61" t="str">
        <x:v>None reported</x:v>
      </x:c>
      <x:c r="M95" s="61" t="str">
        <x:v>None reported</x:v>
      </x:c>
      <x:c r="N95" s="54" t="str">
        <x:v>DEMO_INSURANCE</x:v>
      </x:c>
      <x:c r="O95" s="54" t="str">
        <x:v>RESERVE</x:v>
      </x:c>
      <x:c r="P95" s="55" t="b">
        <x:v>1</x:v>
      </x:c>
      <x:c r="Q95" s="55" t="b">
        <x:v>1</x:v>
      </x:c>
    </x:row>
    <x:row r="96" ht="36" customHeight="1">
      <x:c r="A96" s="54" t="str">
        <x:v>HSP-004-P020</x:v>
      </x:c>
      <x:c r="B96" s="54" t="str">
        <x:v>HSP-004</x:v>
      </x:c>
      <x:c r="C96" s="54" t="str">
        <x:v>MRN-004-020</x:v>
      </x:c>
      <x:c r="D96" s="54" t="str">
        <x:v>Akshay Khan</x:v>
      </x:c>
      <x:c r="E96" s="59" t="n">
        <x:v>23581</x:v>
      </x:c>
      <x:c r="F96" s="54" t="n">
        <x:v>62</x:v>
      </x:c>
      <x:c r="G96" s="54" t="str">
        <x:v>Female</x:v>
      </x:c>
      <x:c r="H96" s="54" t="str">
        <x:v>+91-00000-00095</x:v>
      </x:c>
      <x:c r="I96" s="54" t="str">
        <x:v>hsp-004-p020@example.invalid</x:v>
      </x:c>
      <x:c r="J96" s="54" t="str">
        <x:v>AB+</x:v>
      </x:c>
      <x:c r="K96" s="61" t="str">
        <x:v>No known allergy reported</x:v>
      </x:c>
      <x:c r="L96" s="61" t="str">
        <x:v>Hypertension</x:v>
      </x:c>
      <x:c r="M96" s="61" t="str">
        <x:v>Patient-reported antihypertensive; verify</x:v>
      </x:c>
      <x:c r="N96" s="54" t="str">
        <x:v>GOVT_DEMO</x:v>
      </x:c>
      <x:c r="O96" s="54" t="str">
        <x:v>RESERVE</x:v>
      </x:c>
      <x:c r="P96" s="55" t="b">
        <x:v>1</x:v>
      </x:c>
      <x:c r="Q96" s="55" t="b">
        <x:v>1</x:v>
      </x:c>
    </x:row>
    <x:row r="97" ht="36" customHeight="1">
      <x:c r="A97" s="54" t="str">
        <x:v>HSP-004-P021</x:v>
      </x:c>
      <x:c r="B97" s="54" t="str">
        <x:v>HSP-004</x:v>
      </x:c>
      <x:c r="C97" s="54" t="str">
        <x:v>MRN-004-021</x:v>
      </x:c>
      <x:c r="D97" s="54" t="str">
        <x:v>Amara Menon</x:v>
      </x:c>
      <x:c r="E97" s="59" t="n">
        <x:v>20929</x:v>
      </x:c>
      <x:c r="F97" s="54" t="n">
        <x:v>69</x:v>
      </x:c>
      <x:c r="G97" s="54" t="str">
        <x:v>Male</x:v>
      </x:c>
      <x:c r="H97" s="54" t="str">
        <x:v>+91-00000-00096</x:v>
      </x:c>
      <x:c r="I97" s="54" t="str">
        <x:v>hsp-004-p021@example.invalid</x:v>
      </x:c>
      <x:c r="J97" s="54" t="str">
        <x:v>O-</x:v>
      </x:c>
      <x:c r="K97" s="61" t="str">
        <x:v>No known allergy reported</x:v>
      </x:c>
      <x:c r="L97" s="61" t="str">
        <x:v>Hypertension</x:v>
      </x:c>
      <x:c r="M97" s="61" t="str">
        <x:v>Patient-reported antihypertensive; verify</x:v>
      </x:c>
      <x:c r="N97" s="54" t="str">
        <x:v>SELF_PAY</x:v>
      </x:c>
      <x:c r="O97" s="54" t="str">
        <x:v>RESERVE</x:v>
      </x:c>
      <x:c r="P97" s="55" t="b">
        <x:v>1</x:v>
      </x:c>
      <x:c r="Q97" s="55" t="b">
        <x:v>1</x:v>
      </x:c>
    </x:row>
    <x:row r="98" ht="36" customHeight="1">
      <x:c r="A98" s="54" t="str">
        <x:v>HSP-004-P022</x:v>
      </x:c>
      <x:c r="B98" s="54" t="str">
        <x:v>HSP-004</x:v>
      </x:c>
      <x:c r="C98" s="54" t="str">
        <x:v>MRN-004-022</x:v>
      </x:c>
      <x:c r="D98" s="54" t="str">
        <x:v>Amit Patel</x:v>
      </x:c>
      <x:c r="E98" s="59" t="n">
        <x:v>18278</x:v>
      </x:c>
      <x:c r="F98" s="54" t="n">
        <x:v>76</x:v>
      </x:c>
      <x:c r="G98" s="54" t="str">
        <x:v>Female</x:v>
      </x:c>
      <x:c r="H98" s="54" t="str">
        <x:v>+91-00000-00097</x:v>
      </x:c>
      <x:c r="I98" s="54" t="str">
        <x:v>hsp-004-p022@example.invalid</x:v>
      </x:c>
      <x:c r="J98" s="54" t="str">
        <x:v>O+</x:v>
      </x:c>
      <x:c r="K98" s="61" t="str">
        <x:v>No known allergy reported</x:v>
      </x:c>
      <x:c r="L98" s="61" t="str">
        <x:v>Hypertension</x:v>
      </x:c>
      <x:c r="M98" s="61" t="str">
        <x:v>Patient-reported antihypertensive; verify</x:v>
      </x:c>
      <x:c r="N98" s="54" t="str">
        <x:v>DEMO_INSURANCE</x:v>
      </x:c>
      <x:c r="O98" s="54" t="str">
        <x:v>RESERVE</x:v>
      </x:c>
      <x:c r="P98" s="55" t="b">
        <x:v>1</x:v>
      </x:c>
      <x:c r="Q98" s="55" t="b">
        <x:v>1</x:v>
      </x:c>
    </x:row>
    <x:row r="99" ht="36" customHeight="1">
      <x:c r="A99" s="54" t="str">
        <x:v>HSP-004-P023</x:v>
      </x:c>
      <x:c r="B99" s="54" t="str">
        <x:v>HSP-004</x:v>
      </x:c>
      <x:c r="C99" s="54" t="str">
        <x:v>MRN-004-023</x:v>
      </x:c>
      <x:c r="D99" s="54" t="str">
        <x:v>Anika Roy</x:v>
      </x:c>
      <x:c r="E99" s="59" t="n">
        <x:v>43757</x:v>
      </x:c>
      <x:c r="F99" s="54" t="n">
        <x:v>7</x:v>
      </x:c>
      <x:c r="G99" s="54" t="str">
        <x:v>Male</x:v>
      </x:c>
      <x:c r="H99" s="54" t="str">
        <x:v>+91-00000-00098</x:v>
      </x:c>
      <x:c r="I99" s="54" t="str">
        <x:v>hsp-004-p023@example.invalid</x:v>
      </x:c>
      <x:c r="J99" s="54" t="str">
        <x:v>A+</x:v>
      </x:c>
      <x:c r="K99" s="61" t="str">
        <x:v>No known allergy reported</x:v>
      </x:c>
      <x:c r="L99" s="61" t="str">
        <x:v>None reported</x:v>
      </x:c>
      <x:c r="M99" s="61" t="str">
        <x:v>None reported</x:v>
      </x:c>
      <x:c r="N99" s="54" t="str">
        <x:v>GOVT_DEMO</x:v>
      </x:c>
      <x:c r="O99" s="54" t="str">
        <x:v>RESERVE</x:v>
      </x:c>
      <x:c r="P99" s="55" t="b">
        <x:v>1</x:v>
      </x:c>
      <x:c r="Q99" s="55" t="b">
        <x:v>1</x:v>
      </x:c>
    </x:row>
    <x:row r="100" ht="36" customHeight="1">
      <x:c r="A100" s="54" t="str">
        <x:v>HSP-004-P024</x:v>
      </x:c>
      <x:c r="B100" s="54" t="str">
        <x:v>HSP-004</x:v>
      </x:c>
      <x:c r="C100" s="54" t="str">
        <x:v>MRN-004-024</x:v>
      </x:c>
      <x:c r="D100" s="54" t="str">
        <x:v>Arnav Sharma</x:v>
      </x:c>
      <x:c r="E100" s="59" t="n">
        <x:v>41105</x:v>
      </x:c>
      <x:c r="F100" s="54" t="n">
        <x:v>14</x:v>
      </x:c>
      <x:c r="G100" s="54" t="str">
        <x:v>Female</x:v>
      </x:c>
      <x:c r="H100" s="54" t="str">
        <x:v>+91-00000-00099</x:v>
      </x:c>
      <x:c r="I100" s="54" t="str">
        <x:v>hsp-004-p024@example.invalid</x:v>
      </x:c>
      <x:c r="J100" s="54" t="str">
        <x:v>B+</x:v>
      </x:c>
      <x:c r="K100" s="61" t="str">
        <x:v>No known allergy reported</x:v>
      </x:c>
      <x:c r="L100" s="61" t="str">
        <x:v>None reported</x:v>
      </x:c>
      <x:c r="M100" s="61" t="str">
        <x:v>None reported</x:v>
      </x:c>
      <x:c r="N100" s="54" t="str">
        <x:v>SELF_PAY</x:v>
      </x:c>
      <x:c r="O100" s="54" t="str">
        <x:v>RESERVE</x:v>
      </x:c>
      <x:c r="P100" s="55" t="b">
        <x:v>1</x:v>
      </x:c>
      <x:c r="Q100" s="55" t="b">
        <x:v>1</x:v>
      </x:c>
    </x:row>
    <x:row r="101" ht="36" customHeight="1">
      <x:c r="A101" s="56" t="str">
        <x:v>HSP-004-P025</x:v>
      </x:c>
      <x:c r="B101" s="56" t="str">
        <x:v>HSP-004</x:v>
      </x:c>
      <x:c r="C101" s="56" t="str">
        <x:v>MRN-004-025</x:v>
      </x:c>
      <x:c r="D101" s="56" t="str">
        <x:v>Avni Agarwal</x:v>
      </x:c>
      <x:c r="E101" s="60" t="n">
        <x:v>38453</x:v>
      </x:c>
      <x:c r="F101" s="56" t="n">
        <x:v>21</x:v>
      </x:c>
      <x:c r="G101" s="56" t="str">
        <x:v>Male</x:v>
      </x:c>
      <x:c r="H101" s="56" t="str">
        <x:v>+91-00000-00100</x:v>
      </x:c>
      <x:c r="I101" s="56" t="str">
        <x:v>hsp-004-p025@example.invalid</x:v>
      </x:c>
      <x:c r="J101" s="56" t="str">
        <x:v>AB+</x:v>
      </x:c>
      <x:c r="K101" s="62" t="str">
        <x:v>No known allergy reported</x:v>
      </x:c>
      <x:c r="L101" s="62" t="str">
        <x:v>None reported</x:v>
      </x:c>
      <x:c r="M101" s="62" t="str">
        <x:v>None reported</x:v>
      </x:c>
      <x:c r="N101" s="56" t="str">
        <x:v>DEMO_INSURANCE</x:v>
      </x:c>
      <x:c r="O101" s="56" t="str">
        <x:v>RESERVE</x:v>
      </x:c>
      <x:c r="P101" s="57" t="b">
        <x:v>1</x:v>
      </x:c>
      <x:c r="Q101" s="57" t="b">
        <x:v>1</x:v>
      </x:c>
    </x:row>
  </x:sheetData>
  <x:conditionalFormatting sqref="O2:O101">
    <x:cfRule type="containsText" dxfId="2" priority="1" operator="containsText" text="LIVE"/>
    <x:cfRule type="containsText" dxfId="3" priority="2" operator="containsText" text="RESERVE"/>
  </x:conditionalFormatting>
  <x:pageMargins left="0.7" right="0.7" top="0.75" bottom="0.75" header="0.3" footer="0.3"/>
  <x:tableParts count="1">
    <x:tablePart xmlns:r="http://schemas.openxmlformats.org/officeDocument/2006/relationships" r:id="R49df4564e42241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38" hidden="0" customWidth="1"/>
    <x:col min="9" max="9" width="16" hidden="0" customWidth="1"/>
    <x:col min="10" max="10" width="18" hidden="0" customWidth="1"/>
  </x:cols>
  <x:sheetData>
    <x:row r="1" ht="34" customHeight="1">
      <x:c r="A1" s="53" t="str">
        <x:v>queue_session_id</x:v>
      </x:c>
      <x:c r="B1" s="53" t="str">
        <x:v>hospital_id</x:v>
      </x:c>
      <x:c r="C1" s="53" t="str">
        <x:v>session_code</x:v>
      </x:c>
      <x:c r="D1" s="53" t="str">
        <x:v>session_type</x:v>
      </x:c>
      <x:c r="E1" s="53" t="str">
        <x:v>status</x:v>
      </x:c>
      <x:c r="F1" s="63" t="str">
        <x:v>started_at</x:v>
      </x:c>
      <x:c r="G1" s="53" t="str">
        <x:v>load_multiplier</x:v>
      </x:c>
      <x:c r="H1" s="53" t="str">
        <x:v>operational_config_snapshot</x:v>
      </x:c>
      <x:c r="I1" s="53" t="str">
        <x:v>version</x:v>
      </x:c>
      <x:c r="J1" s="53" t="str">
        <x:v>is_synthetic</x:v>
      </x:c>
    </x:row>
    <x:row r="2" ht="36" customHeight="1">
      <x:c r="A2" s="54" t="str">
        <x:v>QS-HSP-001-20260902</x:v>
      </x:c>
      <x:c r="B2" s="54" t="str">
        <x:v>HSP-001</x:v>
      </x:c>
      <x:c r="C2" s="54" t="str">
        <x:v>QS-20260902-HSP-001</x:v>
      </x:c>
      <x:c r="D2" s="54" t="str">
        <x:v>DEMO</x:v>
      </x:c>
      <x:c r="E2" s="54" t="str">
        <x:v>ACTIVE</x:v>
      </x:c>
      <x:c r="F2" s="64" t="n">
        <x:v>46267.333333333336</x:v>
      </x:c>
      <x:c r="G2" s="54" t="n">
        <x:v>1</x:v>
      </x:c>
      <x:c r="H2" s="61" t="str">
        <x:v>hospital-config-1</x:v>
      </x:c>
      <x:c r="I2" s="54" t="n">
        <x:v>1</x:v>
      </x:c>
      <x:c r="J2" s="55" t="b">
        <x:v>1</x:v>
      </x:c>
    </x:row>
    <x:row r="3" ht="36" customHeight="1">
      <x:c r="A3" s="54" t="str">
        <x:v>QS-HSP-002-20260902</x:v>
      </x:c>
      <x:c r="B3" s="54" t="str">
        <x:v>HSP-002</x:v>
      </x:c>
      <x:c r="C3" s="54" t="str">
        <x:v>QS-20260902-HSP-002</x:v>
      </x:c>
      <x:c r="D3" s="54" t="str">
        <x:v>DEMO</x:v>
      </x:c>
      <x:c r="E3" s="54" t="str">
        <x:v>ACTIVE</x:v>
      </x:c>
      <x:c r="F3" s="64" t="n">
        <x:v>46267.333333333336</x:v>
      </x:c>
      <x:c r="G3" s="54" t="n">
        <x:v>1</x:v>
      </x:c>
      <x:c r="H3" s="61" t="str">
        <x:v>hospital-config-1</x:v>
      </x:c>
      <x:c r="I3" s="54" t="n">
        <x:v>1</x:v>
      </x:c>
      <x:c r="J3" s="55" t="b">
        <x:v>1</x:v>
      </x:c>
    </x:row>
    <x:row r="4" ht="36" customHeight="1">
      <x:c r="A4" s="54" t="str">
        <x:v>QS-HSP-003-20260902</x:v>
      </x:c>
      <x:c r="B4" s="54" t="str">
        <x:v>HSP-003</x:v>
      </x:c>
      <x:c r="C4" s="54" t="str">
        <x:v>QS-20260902-HSP-003</x:v>
      </x:c>
      <x:c r="D4" s="54" t="str">
        <x:v>DEMO</x:v>
      </x:c>
      <x:c r="E4" s="54" t="str">
        <x:v>ACTIVE</x:v>
      </x:c>
      <x:c r="F4" s="64" t="n">
        <x:v>46267.333333333336</x:v>
      </x:c>
      <x:c r="G4" s="54" t="n">
        <x:v>1</x:v>
      </x:c>
      <x:c r="H4" s="61" t="str">
        <x:v>hospital-config-1</x:v>
      </x:c>
      <x:c r="I4" s="54" t="n">
        <x:v>1</x:v>
      </x:c>
      <x:c r="J4" s="55" t="b">
        <x:v>1</x:v>
      </x:c>
    </x:row>
    <x:row r="5" ht="36" customHeight="1">
      <x:c r="A5" s="56" t="str">
        <x:v>QS-HSP-004-20260902</x:v>
      </x:c>
      <x:c r="B5" s="56" t="str">
        <x:v>HSP-004</x:v>
      </x:c>
      <x:c r="C5" s="56" t="str">
        <x:v>QS-20260902-HSP-004</x:v>
      </x:c>
      <x:c r="D5" s="56" t="str">
        <x:v>DEMO</x:v>
      </x:c>
      <x:c r="E5" s="56" t="str">
        <x:v>ACTIVE</x:v>
      </x:c>
      <x:c r="F5" s="65" t="n">
        <x:v>46267.333333333336</x:v>
      </x:c>
      <x:c r="G5" s="56" t="n">
        <x:v>1</x:v>
      </x:c>
      <x:c r="H5" s="62" t="str">
        <x:v>hospital-config-1</x:v>
      </x:c>
      <x:c r="I5" s="56" t="n">
        <x:v>1</x:v>
      </x:c>
      <x:c r="J5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d6c2dacb4984d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38" hidden="0" customWidth="1"/>
    <x:col min="10" max="10" width="16" hidden="0" customWidth="1"/>
    <x:col min="11" max="11" width="20" hidden="0" customWidth="1"/>
    <x:col min="12" max="12" width="16" hidden="0" customWidth="1"/>
    <x:col min="13" max="13" width="20" hidden="0" customWidth="1"/>
    <x:col min="14" max="14" width="20" hidden="0" customWidth="1"/>
    <x:col min="15" max="15" width="20" hidden="0" customWidth="1"/>
    <x:col min="16" max="16" width="16" hidden="0" customWidth="1"/>
    <x:col min="17" max="17" width="38" hidden="0" customWidth="1"/>
    <x:col min="18" max="18" width="18" hidden="0" customWidth="1"/>
  </x:cols>
  <x:sheetData>
    <x:row r="1" ht="34" customHeight="1">
      <x:c r="A1" s="53" t="str">
        <x:v>encounter_id</x:v>
      </x:c>
      <x:c r="B1" s="53" t="str">
        <x:v>encounter_code</x:v>
      </x:c>
      <x:c r="C1" s="53" t="str">
        <x:v>patient_id</x:v>
      </x:c>
      <x:c r="D1" s="53" t="str">
        <x:v>hospital_id</x:v>
      </x:c>
      <x:c r="E1" s="53" t="str">
        <x:v>queue_session_id</x:v>
      </x:c>
      <x:c r="F1" s="53" t="str">
        <x:v>current_ward_id</x:v>
      </x:c>
      <x:c r="G1" s="63" t="str">
        <x:v>arrival_at</x:v>
      </x:c>
      <x:c r="H1" s="53" t="str">
        <x:v>arrival_mode</x:v>
      </x:c>
      <x:c r="I1" s="53" t="str">
        <x:v>chief_complaint</x:v>
      </x:c>
      <x:c r="J1" s="53" t="str">
        <x:v>symptom_onset_text</x:v>
      </x:c>
      <x:c r="K1" s="53" t="str">
        <x:v>scenario_category</x:v>
      </x:c>
      <x:c r="L1" s="53" t="str">
        <x:v>special_demo_feature</x:v>
      </x:c>
      <x:c r="M1" s="53" t="str">
        <x:v>status</x:v>
      </x:c>
      <x:c r="N1" s="53" t="str">
        <x:v>recommended_disposition</x:v>
      </x:c>
      <x:c r="O1" s="53" t="str">
        <x:v>transfer_review_required</x:v>
      </x:c>
      <x:c r="P1" s="53" t="str">
        <x:v>queue_priority_boost</x:v>
      </x:c>
      <x:c r="Q1" s="53" t="str">
        <x:v>data_quality_notes</x:v>
      </x:c>
      <x:c r="R1" s="53" t="str">
        <x:v>is_synthetic</x:v>
      </x:c>
    </x:row>
    <x:row r="2" ht="36" customHeight="1">
      <x:c r="A2" s="54" t="str">
        <x:v>ENC-HSP-001-001</x:v>
      </x:c>
      <x:c r="B2" s="54" t="str">
        <x:v>ENC-20260902-001-001</x:v>
      </x:c>
      <x:c r="C2" s="54" t="str">
        <x:v>HSP-001-P001</x:v>
      </x:c>
      <x:c r="D2" s="54" t="str">
        <x:v>HSP-001</x:v>
      </x:c>
      <x:c r="E2" s="54" t="str">
        <x:v>QS-HSP-001-20260902</x:v>
      </x:c>
      <x:c r="F2" s="54" t="str">
        <x:v>HSP-001-W01</x:v>
      </x:c>
      <x:c r="G2" s="64" t="n">
        <x:v>46267.33819444444</x:v>
      </x:c>
      <x:c r="H2" s="54" t="str">
        <x:v>REFERRED</x:v>
      </x:c>
      <x:c r="I2" s="61" t="str">
        <x:v>Severe breathing difficulty</x:v>
      </x:c>
      <x:c r="J2" s="54" t="str">
        <x:v>Started within the last 24 hours</x:v>
      </x:c>
      <x:c r="K2" s="54" t="str">
        <x:v>CRITICAL</x:v>
      </x:c>
      <x:c r="L2" s="54" t="str">
        <x:v>NONE</x:v>
      </x:c>
      <x:c r="M2" s="54" t="str">
        <x:v>UNDER_ASSESSMENT</x:v>
      </x:c>
      <x:c r="N2" s="54" t="str">
        <x:v>ESCALATE</x:v>
      </x:c>
      <x:c r="O2" s="55" t="b">
        <x:v>0</x:v>
      </x:c>
      <x:c r="P2" s="54" t="n">
        <x:v>0</x:v>
      </x:c>
      <x:c r="Q2" s="61" t="str"/>
      <x:c r="R2" s="55" t="b">
        <x:v>1</x:v>
      </x:c>
    </x:row>
    <x:row r="3" ht="36" customHeight="1">
      <x:c r="A3" s="54" t="str">
        <x:v>ENC-HSP-001-002</x:v>
      </x:c>
      <x:c r="B3" s="54" t="str">
        <x:v>ENC-20260902-001-002</x:v>
      </x:c>
      <x:c r="C3" s="54" t="str">
        <x:v>HSP-001-P002</x:v>
      </x:c>
      <x:c r="D3" s="54" t="str">
        <x:v>HSP-001</x:v>
      </x:c>
      <x:c r="E3" s="54" t="str">
        <x:v>QS-HSP-001-20260902</x:v>
      </x:c>
      <x:c r="F3" s="54" t="str">
        <x:v>HSP-001-W01</x:v>
      </x:c>
      <x:c r="G3" s="64" t="n">
        <x:v>46267.34305555555</x:v>
      </x:c>
      <x:c r="H3" s="54" t="str">
        <x:v>REFERRED</x:v>
      </x:c>
      <x:c r="I3" s="61" t="str">
        <x:v>Unresponsive after collapse</x:v>
      </x:c>
      <x:c r="J3" s="54" t="str">
        <x:v>Started today</x:v>
      </x:c>
      <x:c r="K3" s="54" t="str">
        <x:v>CRITICAL</x:v>
      </x:c>
      <x:c r="L3" s="54" t="str">
        <x:v>NONE</x:v>
      </x:c>
      <x:c r="M3" s="54" t="str">
        <x:v>UNDER_ASSESSMENT</x:v>
      </x:c>
      <x:c r="N3" s="54" t="str">
        <x:v>ESCALATE</x:v>
      </x:c>
      <x:c r="O3" s="55" t="b">
        <x:v>0</x:v>
      </x:c>
      <x:c r="P3" s="54" t="n">
        <x:v>0</x:v>
      </x:c>
      <x:c r="Q3" s="61" t="str"/>
      <x:c r="R3" s="55" t="b">
        <x:v>1</x:v>
      </x:c>
    </x:row>
    <x:row r="4" ht="36" customHeight="1">
      <x:c r="A4" s="54" t="str">
        <x:v>ENC-HSP-001-003</x:v>
      </x:c>
      <x:c r="B4" s="54" t="str">
        <x:v>ENC-20260902-001-003</x:v>
      </x:c>
      <x:c r="C4" s="54" t="str">
        <x:v>HSP-001-P003</x:v>
      </x:c>
      <x:c r="D4" s="54" t="str">
        <x:v>HSP-001</x:v>
      </x:c>
      <x:c r="E4" s="54" t="str">
        <x:v>QS-HSP-001-20260902</x:v>
      </x:c>
      <x:c r="F4" s="54" t="str">
        <x:v>HSP-001-W01</x:v>
      </x:c>
      <x:c r="G4" s="64" t="n">
        <x:v>46267.347916666666</x:v>
      </x:c>
      <x:c r="H4" s="54" t="str">
        <x:v>WALK_IN</x:v>
      </x:c>
      <x:c r="I4" s="61" t="str">
        <x:v>Major trauma with bleeding</x:v>
      </x:c>
      <x:c r="J4" s="54" t="str">
        <x:v>Started within the last 24 hours</x:v>
      </x:c>
      <x:c r="K4" s="54" t="str">
        <x:v>CRITICAL</x:v>
      </x:c>
      <x:c r="L4" s="54" t="str">
        <x:v>NONE</x:v>
      </x:c>
      <x:c r="M4" s="54" t="str">
        <x:v>UNDER_ASSESSMENT</x:v>
      </x:c>
      <x:c r="N4" s="54" t="str">
        <x:v>TRANSFER_REVIEW</x:v>
      </x:c>
      <x:c r="O4" s="55" t="b">
        <x:v>1</x:v>
      </x:c>
      <x:c r="P4" s="54" t="n">
        <x:v>0</x:v>
      </x:c>
      <x:c r="Q4" s="61" t="str"/>
      <x:c r="R4" s="55" t="b">
        <x:v>1</x:v>
      </x:c>
    </x:row>
    <x:row r="5" ht="36" customHeight="1">
      <x:c r="A5" s="54" t="str">
        <x:v>ENC-HSP-001-004</x:v>
      </x:c>
      <x:c r="B5" s="54" t="str">
        <x:v>ENC-20260902-001-004</x:v>
      </x:c>
      <x:c r="C5" s="54" t="str">
        <x:v>HSP-001-P004</x:v>
      </x:c>
      <x:c r="D5" s="54" t="str">
        <x:v>HSP-001</x:v>
      </x:c>
      <x:c r="E5" s="54" t="str">
        <x:v>QS-HSP-001-20260902</x:v>
      </x:c>
      <x:c r="F5" s="54" t="str">
        <x:v>HSP-001-W01</x:v>
      </x:c>
      <x:c r="G5" s="64" t="n">
        <x:v>46267.39444444444</x:v>
      </x:c>
      <x:c r="H5" s="54" t="str">
        <x:v>AMBULANCE</x:v>
      </x:c>
      <x:c r="I5" s="61" t="str">
        <x:v>Severe respiratory distress</x:v>
      </x:c>
      <x:c r="J5" s="54" t="str">
        <x:v>Started today</x:v>
      </x:c>
      <x:c r="K5" s="54" t="str">
        <x:v>CRITICAL</x:v>
      </x:c>
      <x:c r="L5" s="54" t="str">
        <x:v>NONE</x:v>
      </x:c>
      <x:c r="M5" s="54" t="str">
        <x:v>ASSIGNED</x:v>
      </x:c>
      <x:c r="N5" s="54" t="str">
        <x:v>TRANSFER_REVIEW</x:v>
      </x:c>
      <x:c r="O5" s="55" t="b">
        <x:v>1</x:v>
      </x:c>
      <x:c r="P5" s="54" t="n">
        <x:v>0</x:v>
      </x:c>
      <x:c r="Q5" s="61" t="str"/>
      <x:c r="R5" s="55" t="b">
        <x:v>1</x:v>
      </x:c>
    </x:row>
    <x:row r="6" ht="36" customHeight="1">
      <x:c r="A6" s="54" t="str">
        <x:v>ENC-HSP-001-005</x:v>
      </x:c>
      <x:c r="B6" s="54" t="str">
        <x:v>ENC-20260902-001-005</x:v>
      </x:c>
      <x:c r="C6" s="54" t="str">
        <x:v>HSP-001-P005</x:v>
      </x:c>
      <x:c r="D6" s="54" t="str">
        <x:v>HSP-001</x:v>
      </x:c>
      <x:c r="E6" s="54" t="str">
        <x:v>QS-HSP-001-20260902</x:v>
      </x:c>
      <x:c r="F6" s="54" t="str">
        <x:v>HSP-001-W01</x:v>
      </x:c>
      <x:c r="G6" s="64" t="n">
        <x:v>46267.399305555555</x:v>
      </x:c>
      <x:c r="H6" s="54" t="str">
        <x:v>REFERRED</x:v>
      </x:c>
      <x:c r="I6" s="61" t="str">
        <x:v>Chest pain with sweating</x:v>
      </x:c>
      <x:c r="J6" s="54" t="str">
        <x:v>Started within the last 24 hours</x:v>
      </x:c>
      <x:c r="K6" s="54" t="str">
        <x:v>URGENT</x:v>
      </x:c>
      <x:c r="L6" s="54" t="str">
        <x:v>NONE</x:v>
      </x:c>
      <x:c r="M6" s="54" t="str">
        <x:v>ASSIGNED</x:v>
      </x:c>
      <x:c r="N6" s="54" t="str">
        <x:v>PRIORITY_REVIEW</x:v>
      </x:c>
      <x:c r="O6" s="55" t="b">
        <x:v>0</x:v>
      </x:c>
      <x:c r="P6" s="54" t="n">
        <x:v>0</x:v>
      </x:c>
      <x:c r="Q6" s="61" t="str"/>
      <x:c r="R6" s="55" t="b">
        <x:v>1</x:v>
      </x:c>
    </x:row>
    <x:row r="7" ht="36" customHeight="1">
      <x:c r="A7" s="54" t="str">
        <x:v>ENC-HSP-001-006</x:v>
      </x:c>
      <x:c r="B7" s="54" t="str">
        <x:v>ENC-20260902-001-006</x:v>
      </x:c>
      <x:c r="C7" s="54" t="str">
        <x:v>HSP-001-P006</x:v>
      </x:c>
      <x:c r="D7" s="54" t="str">
        <x:v>HSP-001</x:v>
      </x:c>
      <x:c r="E7" s="54" t="str">
        <x:v>QS-HSP-001-20260902</x:v>
      </x:c>
      <x:c r="F7" s="54" t="str">
        <x:v>HSP-001-W01</x:v>
      </x:c>
      <x:c r="G7" s="64" t="n">
        <x:v>46267.40416666667</x:v>
      </x:c>
      <x:c r="H7" s="54" t="str">
        <x:v>WALK_IN</x:v>
      </x:c>
      <x:c r="I7" s="61" t="str">
        <x:v>Sudden weakness on one side</x:v>
      </x:c>
      <x:c r="J7" s="54" t="str">
        <x:v>Started today</x:v>
      </x:c>
      <x:c r="K7" s="54" t="str">
        <x:v>URGENT</x:v>
      </x:c>
      <x:c r="L7" s="54" t="str">
        <x:v>NONE</x:v>
      </x:c>
      <x:c r="M7" s="54" t="str">
        <x:v>ASSIGNED</x:v>
      </x:c>
      <x:c r="N7" s="54" t="str">
        <x:v>PRIORITY_REVIEW</x:v>
      </x:c>
      <x:c r="O7" s="55" t="b">
        <x:v>0</x:v>
      </x:c>
      <x:c r="P7" s="54" t="n">
        <x:v>0</x:v>
      </x:c>
      <x:c r="Q7" s="61" t="str"/>
      <x:c r="R7" s="55" t="b">
        <x:v>1</x:v>
      </x:c>
    </x:row>
    <x:row r="8" ht="36" customHeight="1">
      <x:c r="A8" s="54" t="str">
        <x:v>ENC-HSP-001-007</x:v>
      </x:c>
      <x:c r="B8" s="54" t="str">
        <x:v>ENC-20260902-001-007</x:v>
      </x:c>
      <x:c r="C8" s="54" t="str">
        <x:v>HSP-001-P007</x:v>
      </x:c>
      <x:c r="D8" s="54" t="str">
        <x:v>HSP-001</x:v>
      </x:c>
      <x:c r="E8" s="54" t="str">
        <x:v>QS-HSP-001-20260902</x:v>
      </x:c>
      <x:c r="F8" s="54" t="str">
        <x:v>HSP-001-W03</x:v>
      </x:c>
      <x:c r="G8" s="64" t="n">
        <x:v>46267.40902777778</x:v>
      </x:c>
      <x:c r="H8" s="54" t="str">
        <x:v>REFERRED</x:v>
      </x:c>
      <x:c r="I8" s="61" t="str">
        <x:v>Severe abdominal pain</x:v>
      </x:c>
      <x:c r="J8" s="54" t="str">
        <x:v>Started within the last 24 hours</x:v>
      </x:c>
      <x:c r="K8" s="54" t="str">
        <x:v>URGENT</x:v>
      </x:c>
      <x:c r="L8" s="54" t="str">
        <x:v>NONE</x:v>
      </x:c>
      <x:c r="M8" s="54" t="str">
        <x:v>ASSIGNED</x:v>
      </x:c>
      <x:c r="N8" s="54" t="str">
        <x:v>PRIORITY_REVIEW</x:v>
      </x:c>
      <x:c r="O8" s="55" t="b">
        <x:v>0</x:v>
      </x:c>
      <x:c r="P8" s="54" t="n">
        <x:v>0</x:v>
      </x:c>
      <x:c r="Q8" s="61" t="str"/>
      <x:c r="R8" s="55" t="b">
        <x:v>1</x:v>
      </x:c>
    </x:row>
    <x:row r="9" ht="36" customHeight="1">
      <x:c r="A9" s="54" t="str">
        <x:v>ENC-HSP-001-008</x:v>
      </x:c>
      <x:c r="B9" s="54" t="str">
        <x:v>ENC-20260902-001-008</x:v>
      </x:c>
      <x:c r="C9" s="54" t="str">
        <x:v>HSP-001-P008</x:v>
      </x:c>
      <x:c r="D9" s="54" t="str">
        <x:v>HSP-001</x:v>
      </x:c>
      <x:c r="E9" s="54" t="str">
        <x:v>QS-HSP-001-20260902</x:v>
      </x:c>
      <x:c r="F9" s="54" t="str">
        <x:v>HSP-001-W02</x:v>
      </x:c>
      <x:c r="G9" s="64" t="n">
        <x:v>46267.455555555556</x:v>
      </x:c>
      <x:c r="H9" s="54" t="str">
        <x:v>AMBULANCE</x:v>
      </x:c>
      <x:c r="I9" s="61" t="str">
        <x:v>High fever with confusion</x:v>
      </x:c>
      <x:c r="J9" s="54" t="str">
        <x:v>Started today</x:v>
      </x:c>
      <x:c r="K9" s="54" t="str">
        <x:v>URGENT</x:v>
      </x:c>
      <x:c r="L9" s="54" t="str">
        <x:v>NONE</x:v>
      </x:c>
      <x:c r="M9" s="54" t="str">
        <x:v>WAITING</x:v>
      </x:c>
      <x:c r="N9" s="54" t="str">
        <x:v>PRIORITY_REVIEW</x:v>
      </x:c>
      <x:c r="O9" s="55" t="b">
        <x:v>0</x:v>
      </x:c>
      <x:c r="P9" s="54" t="n">
        <x:v>0</x:v>
      </x:c>
      <x:c r="Q9" s="61" t="str"/>
      <x:c r="R9" s="55" t="b">
        <x:v>1</x:v>
      </x:c>
    </x:row>
    <x:row r="10" ht="36" customHeight="1">
      <x:c r="A10" s="54" t="str">
        <x:v>ENC-HSP-001-009</x:v>
      </x:c>
      <x:c r="B10" s="54" t="str">
        <x:v>ENC-20260902-001-009</x:v>
      </x:c>
      <x:c r="C10" s="54" t="str">
        <x:v>HSP-001-P009</x:v>
      </x:c>
      <x:c r="D10" s="54" t="str">
        <x:v>HSP-001</x:v>
      </x:c>
      <x:c r="E10" s="54" t="str">
        <x:v>QS-HSP-001-20260902</x:v>
      </x:c>
      <x:c r="F10" s="54" t="str">
        <x:v>HSP-001-W01</x:v>
      </x:c>
      <x:c r="G10" s="64" t="n">
        <x:v>46267.41875</x:v>
      </x:c>
      <x:c r="H10" s="54" t="str">
        <x:v>WALK_IN</x:v>
      </x:c>
      <x:c r="I10" s="61" t="str">
        <x:v>Asthma flare with wheeze</x:v>
      </x:c>
      <x:c r="J10" s="54" t="str">
        <x:v>Started within the last 24 hours</x:v>
      </x:c>
      <x:c r="K10" s="54" t="str">
        <x:v>URGENT</x:v>
      </x:c>
      <x:c r="L10" s="54" t="str">
        <x:v>NONE</x:v>
      </x:c>
      <x:c r="M10" s="54" t="str">
        <x:v>WAITING</x:v>
      </x:c>
      <x:c r="N10" s="54" t="str">
        <x:v>PRIORITY_REVIEW</x:v>
      </x:c>
      <x:c r="O10" s="55" t="b">
        <x:v>0</x:v>
      </x:c>
      <x:c r="P10" s="54" t="n">
        <x:v>0</x:v>
      </x:c>
      <x:c r="Q10" s="61" t="str"/>
      <x:c r="R10" s="55" t="b">
        <x:v>1</x:v>
      </x:c>
    </x:row>
    <x:row r="11" ht="36" customHeight="1">
      <x:c r="A11" s="54" t="str">
        <x:v>ENC-HSP-001-010</x:v>
      </x:c>
      <x:c r="B11" s="54" t="str">
        <x:v>ENC-20260902-001-010</x:v>
      </x:c>
      <x:c r="C11" s="54" t="str">
        <x:v>HSP-001-P010</x:v>
      </x:c>
      <x:c r="D11" s="54" t="str">
        <x:v>HSP-001</x:v>
      </x:c>
      <x:c r="E11" s="54" t="str">
        <x:v>QS-HSP-001-20260902</x:v>
      </x:c>
      <x:c r="F11" s="54" t="str">
        <x:v>HSP-001-W01</x:v>
      </x:c>
      <x:c r="G11" s="64" t="n">
        <x:v>46267.42361111111</x:v>
      </x:c>
      <x:c r="H11" s="54" t="str">
        <x:v>REFERRED</x:v>
      </x:c>
      <x:c r="I11" s="61" t="str">
        <x:v>Pregnancy with bleeding</x:v>
      </x:c>
      <x:c r="J11" s="54" t="str">
        <x:v>Started today</x:v>
      </x:c>
      <x:c r="K11" s="54" t="str">
        <x:v>URGENT</x:v>
      </x:c>
      <x:c r="L11" s="54" t="str">
        <x:v>NONE</x:v>
      </x:c>
      <x:c r="M11" s="54" t="str">
        <x:v>WAITING</x:v>
      </x:c>
      <x:c r="N11" s="54" t="str">
        <x:v>PRIORITY_REVIEW</x:v>
      </x:c>
      <x:c r="O11" s="55" t="b">
        <x:v>1</x:v>
      </x:c>
      <x:c r="P11" s="54" t="n">
        <x:v>0</x:v>
      </x:c>
      <x:c r="Q11" s="61" t="str"/>
      <x:c r="R11" s="55" t="b">
        <x:v>1</x:v>
      </x:c>
    </x:row>
    <x:row r="12" ht="36" customHeight="1">
      <x:c r="A12" s="54" t="str">
        <x:v>ENC-HSP-002-001</x:v>
      </x:c>
      <x:c r="B12" s="54" t="str">
        <x:v>ENC-20260902-002-001</x:v>
      </x:c>
      <x:c r="C12" s="54" t="str">
        <x:v>HSP-002-P001</x:v>
      </x:c>
      <x:c r="D12" s="54" t="str">
        <x:v>HSP-002</x:v>
      </x:c>
      <x:c r="E12" s="54" t="str">
        <x:v>QS-HSP-002-20260902</x:v>
      </x:c>
      <x:c r="F12" s="54" t="str">
        <x:v>HSP-002-W04</x:v>
      </x:c>
      <x:c r="G12" s="64" t="n">
        <x:v>46267.34027777778</x:v>
      </x:c>
      <x:c r="H12" s="54" t="str">
        <x:v>REFERRED</x:v>
      </x:c>
      <x:c r="I12" s="61" t="str">
        <x:v>Child with persistent seizure history</x:v>
      </x:c>
      <x:c r="J12" s="54" t="str">
        <x:v>Started within the last 24 hours</x:v>
      </x:c>
      <x:c r="K12" s="54" t="str">
        <x:v>URGENT</x:v>
      </x:c>
      <x:c r="L12" s="54" t="str">
        <x:v>NONE</x:v>
      </x:c>
      <x:c r="M12" s="54" t="str">
        <x:v>UNDER_ASSESSMENT</x:v>
      </x:c>
      <x:c r="N12" s="54" t="str">
        <x:v>PRIORITY_REVIEW</x:v>
      </x:c>
      <x:c r="O12" s="55" t="b">
        <x:v>0</x:v>
      </x:c>
      <x:c r="P12" s="54" t="n">
        <x:v>0</x:v>
      </x:c>
      <x:c r="Q12" s="61" t="str"/>
      <x:c r="R12" s="55" t="b">
        <x:v>1</x:v>
      </x:c>
    </x:row>
    <x:row r="13" ht="36" customHeight="1">
      <x:c r="A13" s="54" t="str">
        <x:v>ENC-HSP-002-002</x:v>
      </x:c>
      <x:c r="B13" s="54" t="str">
        <x:v>ENC-20260902-002-002</x:v>
      </x:c>
      <x:c r="C13" s="54" t="str">
        <x:v>HSP-002-P002</x:v>
      </x:c>
      <x:c r="D13" s="54" t="str">
        <x:v>HSP-002</x:v>
      </x:c>
      <x:c r="E13" s="54" t="str">
        <x:v>QS-HSP-002-20260902</x:v>
      </x:c>
      <x:c r="F13" s="54" t="str">
        <x:v>HSP-002-W01</x:v>
      </x:c>
      <x:c r="G13" s="64" t="n">
        <x:v>46267.345138888886</x:v>
      </x:c>
      <x:c r="H13" s="54" t="str">
        <x:v>REFERRED</x:v>
      </x:c>
      <x:c r="I13" s="61" t="str">
        <x:v>Head injury with repeated vomiting</x:v>
      </x:c>
      <x:c r="J13" s="54" t="str">
        <x:v>Started today</x:v>
      </x:c>
      <x:c r="K13" s="54" t="str">
        <x:v>URGENT</x:v>
      </x:c>
      <x:c r="L13" s="54" t="str">
        <x:v>NONE</x:v>
      </x:c>
      <x:c r="M13" s="54" t="str">
        <x:v>UNDER_ASSESSMENT</x:v>
      </x:c>
      <x:c r="N13" s="54" t="str">
        <x:v>PRIORITY_REVIEW</x:v>
      </x:c>
      <x:c r="O13" s="55" t="b">
        <x:v>0</x:v>
      </x:c>
      <x:c r="P13" s="54" t="n">
        <x:v>0</x:v>
      </x:c>
      <x:c r="Q13" s="61" t="str"/>
      <x:c r="R13" s="55" t="b">
        <x:v>1</x:v>
      </x:c>
    </x:row>
    <x:row r="14" ht="36" customHeight="1">
      <x:c r="A14" s="54" t="str">
        <x:v>ENC-HSP-002-003</x:v>
      </x:c>
      <x:c r="B14" s="54" t="str">
        <x:v>ENC-20260902-002-003</x:v>
      </x:c>
      <x:c r="C14" s="54" t="str">
        <x:v>HSP-002-P003</x:v>
      </x:c>
      <x:c r="D14" s="54" t="str">
        <x:v>HSP-002</x:v>
      </x:c>
      <x:c r="E14" s="54" t="str">
        <x:v>QS-HSP-002-20260902</x:v>
      </x:c>
      <x:c r="F14" s="54" t="str">
        <x:v>HSP-002-W01</x:v>
      </x:c>
      <x:c r="G14" s="64" t="n">
        <x:v>46267.35</x:v>
      </x:c>
      <x:c r="H14" s="54" t="str">
        <x:v>WALK_IN</x:v>
      </x:c>
      <x:c r="I14" s="61" t="str">
        <x:v>Allergic reaction with facial swelling</x:v>
      </x:c>
      <x:c r="J14" s="54" t="str">
        <x:v>Started within the last 24 hours</x:v>
      </x:c>
      <x:c r="K14" s="54" t="str">
        <x:v>URGENT</x:v>
      </x:c>
      <x:c r="L14" s="54" t="str">
        <x:v>NONE</x:v>
      </x:c>
      <x:c r="M14" s="54" t="str">
        <x:v>UNDER_ASSESSMENT</x:v>
      </x:c>
      <x:c r="N14" s="54" t="str">
        <x:v>PRIORITY_REVIEW</x:v>
      </x:c>
      <x:c r="O14" s="55" t="b">
        <x:v>0</x:v>
      </x:c>
      <x:c r="P14" s="54" t="n">
        <x:v>0</x:v>
      </x:c>
      <x:c r="Q14" s="61" t="str"/>
      <x:c r="R14" s="55" t="b">
        <x:v>1</x:v>
      </x:c>
    </x:row>
    <x:row r="15" ht="36" customHeight="1">
      <x:c r="A15" s="54" t="str">
        <x:v>ENC-HSP-002-004</x:v>
      </x:c>
      <x:c r="B15" s="54" t="str">
        <x:v>ENC-20260902-002-004</x:v>
      </x:c>
      <x:c r="C15" s="54" t="str">
        <x:v>HSP-002-P004</x:v>
      </x:c>
      <x:c r="D15" s="54" t="str">
        <x:v>HSP-002</x:v>
      </x:c>
      <x:c r="E15" s="54" t="str">
        <x:v>QS-HSP-002-20260902</x:v>
      </x:c>
      <x:c r="F15" s="54" t="str">
        <x:v>HSP-002-W02</x:v>
      </x:c>
      <x:c r="G15" s="64" t="n">
        <x:v>46267.396527777775</x:v>
      </x:c>
      <x:c r="H15" s="54" t="str">
        <x:v>AMBULANCE</x:v>
      </x:c>
      <x:c r="I15" s="61" t="str">
        <x:v>Very high blood pressure with headache</x:v>
      </x:c>
      <x:c r="J15" s="54" t="str">
        <x:v>Started today</x:v>
      </x:c>
      <x:c r="K15" s="54" t="str">
        <x:v>URGENT</x:v>
      </x:c>
      <x:c r="L15" s="54" t="str">
        <x:v>NONE</x:v>
      </x:c>
      <x:c r="M15" s="54" t="str">
        <x:v>ASSIGNED</x:v>
      </x:c>
      <x:c r="N15" s="54" t="str">
        <x:v>PRIORITY_REVIEW</x:v>
      </x:c>
      <x:c r="O15" s="55" t="b">
        <x:v>0</x:v>
      </x:c>
      <x:c r="P15" s="54" t="n">
        <x:v>0</x:v>
      </x:c>
      <x:c r="Q15" s="61" t="str"/>
      <x:c r="R15" s="55" t="b">
        <x:v>1</x:v>
      </x:c>
    </x:row>
    <x:row r="16" ht="36" customHeight="1">
      <x:c r="A16" s="54" t="str">
        <x:v>ENC-HSP-002-005</x:v>
      </x:c>
      <x:c r="B16" s="54" t="str">
        <x:v>ENC-20260902-002-005</x:v>
      </x:c>
      <x:c r="C16" s="54" t="str">
        <x:v>HSP-002-P005</x:v>
      </x:c>
      <x:c r="D16" s="54" t="str">
        <x:v>HSP-002</x:v>
      </x:c>
      <x:c r="E16" s="54" t="str">
        <x:v>QS-HSP-002-20260902</x:v>
      </x:c>
      <x:c r="F16" s="54" t="str">
        <x:v>HSP-002-W02</x:v>
      </x:c>
      <x:c r="G16" s="64" t="n">
        <x:v>46267.40138888889</x:v>
      </x:c>
      <x:c r="H16" s="54" t="str">
        <x:v>REFERRED</x:v>
      </x:c>
      <x:c r="I16" s="61" t="str">
        <x:v>Moderate dehydration</x:v>
      </x:c>
      <x:c r="J16" s="54" t="str">
        <x:v>Started within the last 24 hours</x:v>
      </x:c>
      <x:c r="K16" s="54" t="str">
        <x:v>ROUTINE_VARIED</x:v>
      </x:c>
      <x:c r="L16" s="54" t="str">
        <x:v>NONE</x:v>
      </x:c>
      <x:c r="M16" s="54" t="str">
        <x:v>ASSIGNED</x:v>
      </x:c>
      <x:c r="N16" s="54" t="str">
        <x:v>STANDARD_REVIEW</x:v>
      </x:c>
      <x:c r="O16" s="55" t="b">
        <x:v>0</x:v>
      </x:c>
      <x:c r="P16" s="54" t="n">
        <x:v>0</x:v>
      </x:c>
      <x:c r="Q16" s="61" t="str"/>
      <x:c r="R16" s="55" t="b">
        <x:v>1</x:v>
      </x:c>
    </x:row>
    <x:row r="17" ht="36" customHeight="1">
      <x:c r="A17" s="54" t="str">
        <x:v>ENC-HSP-002-006</x:v>
      </x:c>
      <x:c r="B17" s="54" t="str">
        <x:v>ENC-20260902-002-006</x:v>
      </x:c>
      <x:c r="C17" s="54" t="str">
        <x:v>HSP-002-P006</x:v>
      </x:c>
      <x:c r="D17" s="54" t="str">
        <x:v>HSP-002</x:v>
      </x:c>
      <x:c r="E17" s="54" t="str">
        <x:v>QS-HSP-002-20260902</x:v>
      </x:c>
      <x:c r="F17" s="54" t="str">
        <x:v>HSP-002-W03</x:v>
      </x:c>
      <x:c r="G17" s="64" t="n">
        <x:v>46267.40625</x:v>
      </x:c>
      <x:c r="H17" s="54" t="str">
        <x:v>WALK_IN</x:v>
      </x:c>
      <x:c r="I17" s="61" t="str">
        <x:v>Suspected forearm fracture</x:v>
      </x:c>
      <x:c r="J17" s="54" t="str">
        <x:v>Started today</x:v>
      </x:c>
      <x:c r="K17" s="54" t="str">
        <x:v>ROUTINE_VARIED</x:v>
      </x:c>
      <x:c r="L17" s="54" t="str">
        <x:v>NONE</x:v>
      </x:c>
      <x:c r="M17" s="54" t="str">
        <x:v>ASSIGNED</x:v>
      </x:c>
      <x:c r="N17" s="54" t="str">
        <x:v>STANDARD_REVIEW</x:v>
      </x:c>
      <x:c r="O17" s="55" t="b">
        <x:v>0</x:v>
      </x:c>
      <x:c r="P17" s="54" t="n">
        <x:v>0</x:v>
      </x:c>
      <x:c r="Q17" s="61" t="str"/>
      <x:c r="R17" s="55" t="b">
        <x:v>1</x:v>
      </x:c>
    </x:row>
    <x:row r="18" ht="36" customHeight="1">
      <x:c r="A18" s="54" t="str">
        <x:v>ENC-HSP-002-007</x:v>
      </x:c>
      <x:c r="B18" s="54" t="str">
        <x:v>ENC-20260902-002-007</x:v>
      </x:c>
      <x:c r="C18" s="54" t="str">
        <x:v>HSP-002-P007</x:v>
      </x:c>
      <x:c r="D18" s="54" t="str">
        <x:v>HSP-002</x:v>
      </x:c>
      <x:c r="E18" s="54" t="str">
        <x:v>QS-HSP-002-20260902</x:v>
      </x:c>
      <x:c r="F18" s="54" t="str">
        <x:v>HSP-002-W02</x:v>
      </x:c>
      <x:c r="G18" s="64" t="n">
        <x:v>46267.41111111111</x:v>
      </x:c>
      <x:c r="H18" s="54" t="str">
        <x:v>REFERRED</x:v>
      </x:c>
      <x:c r="I18" s="61" t="str">
        <x:v>Fever and productive cough</x:v>
      </x:c>
      <x:c r="J18" s="54" t="str">
        <x:v>Started within the last 24 hours</x:v>
      </x:c>
      <x:c r="K18" s="54" t="str">
        <x:v>ROUTINE_VARIED</x:v>
      </x:c>
      <x:c r="L18" s="54" t="str">
        <x:v>NONE</x:v>
      </x:c>
      <x:c r="M18" s="54" t="str">
        <x:v>ASSIGNED</x:v>
      </x:c>
      <x:c r="N18" s="54" t="str">
        <x:v>STANDARD_REVIEW</x:v>
      </x:c>
      <x:c r="O18" s="55" t="b">
        <x:v>0</x:v>
      </x:c>
      <x:c r="P18" s="54" t="n">
        <x:v>0</x:v>
      </x:c>
      <x:c r="Q18" s="61" t="str"/>
      <x:c r="R18" s="55" t="b">
        <x:v>1</x:v>
      </x:c>
    </x:row>
    <x:row r="19" ht="36" customHeight="1">
      <x:c r="A19" s="54" t="str">
        <x:v>ENC-HSP-002-008</x:v>
      </x:c>
      <x:c r="B19" s="54" t="str">
        <x:v>ENC-20260902-002-008</x:v>
      </x:c>
      <x:c r="C19" s="54" t="str">
        <x:v>HSP-002-P008</x:v>
      </x:c>
      <x:c r="D19" s="54" t="str">
        <x:v>HSP-002</x:v>
      </x:c>
      <x:c r="E19" s="54" t="str">
        <x:v>QS-HSP-002-20260902</x:v>
      </x:c>
      <x:c r="F19" s="54" t="str">
        <x:v>HSP-002-W02</x:v>
      </x:c>
      <x:c r="G19" s="64" t="n">
        <x:v>46267.45763888889</x:v>
      </x:c>
      <x:c r="H19" s="54" t="str">
        <x:v>AMBULANCE</x:v>
      </x:c>
      <x:c r="I19" s="61" t="str">
        <x:v>Persistent vomiting</x:v>
      </x:c>
      <x:c r="J19" s="54" t="str">
        <x:v>Started today</x:v>
      </x:c>
      <x:c r="K19" s="54" t="str">
        <x:v>ROUTINE_VARIED</x:v>
      </x:c>
      <x:c r="L19" s="54" t="str">
        <x:v>NONE</x:v>
      </x:c>
      <x:c r="M19" s="54" t="str">
        <x:v>WAITING</x:v>
      </x:c>
      <x:c r="N19" s="54" t="str">
        <x:v>STANDARD_REVIEW</x:v>
      </x:c>
      <x:c r="O19" s="55" t="b">
        <x:v>0</x:v>
      </x:c>
      <x:c r="P19" s="54" t="n">
        <x:v>0</x:v>
      </x:c>
      <x:c r="Q19" s="61" t="str"/>
      <x:c r="R19" s="55" t="b">
        <x:v>1</x:v>
      </x:c>
    </x:row>
    <x:row r="20" ht="36" customHeight="1">
      <x:c r="A20" s="54" t="str">
        <x:v>ENC-HSP-002-009</x:v>
      </x:c>
      <x:c r="B20" s="54" t="str">
        <x:v>ENC-20260902-002-009</x:v>
      </x:c>
      <x:c r="C20" s="54" t="str">
        <x:v>HSP-002-P009</x:v>
      </x:c>
      <x:c r="D20" s="54" t="str">
        <x:v>HSP-002</x:v>
      </x:c>
      <x:c r="E20" s="54" t="str">
        <x:v>QS-HSP-002-20260902</x:v>
      </x:c>
      <x:c r="F20" s="54" t="str">
        <x:v>HSP-002-W03</x:v>
      </x:c>
      <x:c r="G20" s="64" t="n">
        <x:v>46267.42083333333</x:v>
      </x:c>
      <x:c r="H20" s="54" t="str">
        <x:v>WALK_IN</x:v>
      </x:c>
      <x:c r="I20" s="61" t="str">
        <x:v>Lower abdominal pain</x:v>
      </x:c>
      <x:c r="J20" s="54" t="str">
        <x:v>Started within the last 24 hours</x:v>
      </x:c>
      <x:c r="K20" s="54" t="str">
        <x:v>ROUTINE_VARIED</x:v>
      </x:c>
      <x:c r="L20" s="54" t="str">
        <x:v>NONE</x:v>
      </x:c>
      <x:c r="M20" s="54" t="str">
        <x:v>WAITING</x:v>
      </x:c>
      <x:c r="N20" s="54" t="str">
        <x:v>STANDARD_REVIEW</x:v>
      </x:c>
      <x:c r="O20" s="55" t="b">
        <x:v>0</x:v>
      </x:c>
      <x:c r="P20" s="54" t="n">
        <x:v>0</x:v>
      </x:c>
      <x:c r="Q20" s="61" t="str"/>
      <x:c r="R20" s="55" t="b">
        <x:v>1</x:v>
      </x:c>
    </x:row>
    <x:row r="21" ht="36" customHeight="1">
      <x:c r="A21" s="54" t="str">
        <x:v>ENC-HSP-002-010</x:v>
      </x:c>
      <x:c r="B21" s="54" t="str">
        <x:v>ENC-20260902-002-010</x:v>
      </x:c>
      <x:c r="C21" s="54" t="str">
        <x:v>HSP-002-P010</x:v>
      </x:c>
      <x:c r="D21" s="54" t="str">
        <x:v>HSP-002</x:v>
      </x:c>
      <x:c r="E21" s="54" t="str">
        <x:v>QS-HSP-002-20260902</x:v>
      </x:c>
      <x:c r="F21" s="54" t="str">
        <x:v>HSP-002-W03</x:v>
      </x:c>
      <x:c r="G21" s="64" t="n">
        <x:v>46267.42569444444</x:v>
      </x:c>
      <x:c r="H21" s="54" t="str">
        <x:v>REFERRED</x:v>
      </x:c>
      <x:c r="I21" s="61" t="str">
        <x:v>Painful swollen knee</x:v>
      </x:c>
      <x:c r="J21" s="54" t="str">
        <x:v>Started today</x:v>
      </x:c>
      <x:c r="K21" s="54" t="str">
        <x:v>ROUTINE_VARIED</x:v>
      </x:c>
      <x:c r="L21" s="54" t="str">
        <x:v>NONE</x:v>
      </x:c>
      <x:c r="M21" s="54" t="str">
        <x:v>WAITING</x:v>
      </x:c>
      <x:c r="N21" s="54" t="str">
        <x:v>STANDARD_REVIEW</x:v>
      </x:c>
      <x:c r="O21" s="55" t="b">
        <x:v>0</x:v>
      </x:c>
      <x:c r="P21" s="54" t="n">
        <x:v>0</x:v>
      </x:c>
      <x:c r="Q21" s="61" t="str"/>
      <x:c r="R21" s="55" t="b">
        <x:v>1</x:v>
      </x:c>
    </x:row>
    <x:row r="22" ht="36" customHeight="1">
      <x:c r="A22" s="54" t="str">
        <x:v>ENC-HSP-003-001</x:v>
      </x:c>
      <x:c r="B22" s="54" t="str">
        <x:v>ENC-20260902-003-001</x:v>
      </x:c>
      <x:c r="C22" s="54" t="str">
        <x:v>HSP-003-P001</x:v>
      </x:c>
      <x:c r="D22" s="54" t="str">
        <x:v>HSP-003</x:v>
      </x:c>
      <x:c r="E22" s="54" t="str">
        <x:v>QS-HSP-003-20260902</x:v>
      </x:c>
      <x:c r="F22" s="54" t="str">
        <x:v>HSP-003-W02</x:v>
      </x:c>
      <x:c r="G22" s="64" t="n">
        <x:v>46267.342361111114</x:v>
      </x:c>
      <x:c r="H22" s="54" t="str">
        <x:v>REFERRED</x:v>
      </x:c>
      <x:c r="I22" s="61" t="str">
        <x:v>Migraine-like headache</x:v>
      </x:c>
      <x:c r="J22" s="54" t="str">
        <x:v>Started within the last 24 hours</x:v>
      </x:c>
      <x:c r="K22" s="54" t="str">
        <x:v>ROUTINE_VARIED</x:v>
      </x:c>
      <x:c r="L22" s="54" t="str">
        <x:v>NONE</x:v>
      </x:c>
      <x:c r="M22" s="54" t="str">
        <x:v>UNDER_ASSESSMENT</x:v>
      </x:c>
      <x:c r="N22" s="54" t="str">
        <x:v>STANDARD_REVIEW</x:v>
      </x:c>
      <x:c r="O22" s="55" t="b">
        <x:v>0</x:v>
      </x:c>
      <x:c r="P22" s="54" t="n">
        <x:v>0</x:v>
      </x:c>
      <x:c r="Q22" s="61" t="str"/>
      <x:c r="R22" s="55" t="b">
        <x:v>1</x:v>
      </x:c>
    </x:row>
    <x:row r="23" ht="36" customHeight="1">
      <x:c r="A23" s="54" t="str">
        <x:v>ENC-HSP-003-002</x:v>
      </x:c>
      <x:c r="B23" s="54" t="str">
        <x:v>ENC-20260902-003-002</x:v>
      </x:c>
      <x:c r="C23" s="54" t="str">
        <x:v>HSP-003-P002</x:v>
      </x:c>
      <x:c r="D23" s="54" t="str">
        <x:v>HSP-003</x:v>
      </x:c>
      <x:c r="E23" s="54" t="str">
        <x:v>QS-HSP-003-20260902</x:v>
      </x:c>
      <x:c r="F23" s="54" t="str">
        <x:v>HSP-003-W02</x:v>
      </x:c>
      <x:c r="G23" s="64" t="n">
        <x:v>46267.34722222222</x:v>
      </x:c>
      <x:c r="H23" s="54" t="str">
        <x:v>REFERRED</x:v>
      </x:c>
      <x:c r="I23" s="61" t="str">
        <x:v>Urinary symptoms with fever</x:v>
      </x:c>
      <x:c r="J23" s="54" t="str">
        <x:v>Started today</x:v>
      </x:c>
      <x:c r="K23" s="54" t="str">
        <x:v>ROUTINE_VARIED</x:v>
      </x:c>
      <x:c r="L23" s="54" t="str">
        <x:v>NONE</x:v>
      </x:c>
      <x:c r="M23" s="54" t="str">
        <x:v>UNDER_ASSESSMENT</x:v>
      </x:c>
      <x:c r="N23" s="54" t="str">
        <x:v>STANDARD_REVIEW</x:v>
      </x:c>
      <x:c r="O23" s="55" t="b">
        <x:v>0</x:v>
      </x:c>
      <x:c r="P23" s="54" t="n">
        <x:v>0</x:v>
      </x:c>
      <x:c r="Q23" s="61" t="str"/>
      <x:c r="R23" s="55" t="b">
        <x:v>1</x:v>
      </x:c>
    </x:row>
    <x:row r="24" ht="36" customHeight="1">
      <x:c r="A24" s="54" t="str">
        <x:v>ENC-HSP-003-003</x:v>
      </x:c>
      <x:c r="B24" s="54" t="str">
        <x:v>ENC-20260902-003-003</x:v>
      </x:c>
      <x:c r="C24" s="54" t="str">
        <x:v>HSP-003-P003</x:v>
      </x:c>
      <x:c r="D24" s="54" t="str">
        <x:v>HSP-003</x:v>
      </x:c>
      <x:c r="E24" s="54" t="str">
        <x:v>QS-HSP-003-20260902</x:v>
      </x:c>
      <x:c r="F24" s="54" t="str">
        <x:v>HSP-003-W03</x:v>
      </x:c>
      <x:c r="G24" s="64" t="n">
        <x:v>46267.35208333333</x:v>
      </x:c>
      <x:c r="H24" s="54" t="str">
        <x:v>WALK_IN</x:v>
      </x:c>
      <x:c r="I24" s="61" t="str">
        <x:v>Back pain after lifting</x:v>
      </x:c>
      <x:c r="J24" s="54" t="str">
        <x:v>Started within the last 24 hours</x:v>
      </x:c>
      <x:c r="K24" s="54" t="str">
        <x:v>ROUTINE_VARIED</x:v>
      </x:c>
      <x:c r="L24" s="54" t="str">
        <x:v>NONE</x:v>
      </x:c>
      <x:c r="M24" s="54" t="str">
        <x:v>UNDER_ASSESSMENT</x:v>
      </x:c>
      <x:c r="N24" s="54" t="str">
        <x:v>FAST_TRACK</x:v>
      </x:c>
      <x:c r="O24" s="55" t="b">
        <x:v>0</x:v>
      </x:c>
      <x:c r="P24" s="54" t="n">
        <x:v>0</x:v>
      </x:c>
      <x:c r="Q24" s="61" t="str"/>
      <x:c r="R24" s="55" t="b">
        <x:v>1</x:v>
      </x:c>
    </x:row>
    <x:row r="25" ht="36" customHeight="1">
      <x:c r="A25" s="54" t="str">
        <x:v>ENC-HSP-003-004</x:v>
      </x:c>
      <x:c r="B25" s="54" t="str">
        <x:v>ENC-20260902-003-004</x:v>
      </x:c>
      <x:c r="C25" s="54" t="str">
        <x:v>HSP-003-P004</x:v>
      </x:c>
      <x:c r="D25" s="54" t="str">
        <x:v>HSP-003</x:v>
      </x:c>
      <x:c r="E25" s="54" t="str">
        <x:v>QS-HSP-003-20260902</x:v>
      </x:c>
      <x:c r="F25" s="54" t="str">
        <x:v>HSP-003-W03</x:v>
      </x:c>
      <x:c r="G25" s="64" t="n">
        <x:v>46267.39861111111</x:v>
      </x:c>
      <x:c r="H25" s="54" t="str">
        <x:v>AMBULANCE</x:v>
      </x:c>
      <x:c r="I25" s="61" t="str">
        <x:v>Minor ankle sprain</x:v>
      </x:c>
      <x:c r="J25" s="54" t="str">
        <x:v>Started today</x:v>
      </x:c>
      <x:c r="K25" s="54" t="str">
        <x:v>ROUTINE_VARIED</x:v>
      </x:c>
      <x:c r="L25" s="54" t="str">
        <x:v>NONE</x:v>
      </x:c>
      <x:c r="M25" s="54" t="str">
        <x:v>ASSIGNED</x:v>
      </x:c>
      <x:c r="N25" s="54" t="str">
        <x:v>FAST_TRACK</x:v>
      </x:c>
      <x:c r="O25" s="55" t="b">
        <x:v>0</x:v>
      </x:c>
      <x:c r="P25" s="54" t="n">
        <x:v>0</x:v>
      </x:c>
      <x:c r="Q25" s="61" t="str"/>
      <x:c r="R25" s="55" t="b">
        <x:v>1</x:v>
      </x:c>
    </x:row>
    <x:row r="26" ht="36" customHeight="1">
      <x:c r="A26" s="54" t="str">
        <x:v>ENC-HSP-003-005</x:v>
      </x:c>
      <x:c r="B26" s="54" t="str">
        <x:v>ENC-20260902-003-005</x:v>
      </x:c>
      <x:c r="C26" s="54" t="str">
        <x:v>HSP-003-P005</x:v>
      </x:c>
      <x:c r="D26" s="54" t="str">
        <x:v>HSP-003</x:v>
      </x:c>
      <x:c r="E26" s="54" t="str">
        <x:v>QS-HSP-003-20260902</x:v>
      </x:c>
      <x:c r="F26" s="54" t="str">
        <x:v>HSP-003-W02</x:v>
      </x:c>
      <x:c r="G26" s="64" t="n">
        <x:v>46267.40347222222</x:v>
      </x:c>
      <x:c r="H26" s="54" t="str">
        <x:v>REFERRED</x:v>
      </x:c>
      <x:c r="I26" s="61" t="str">
        <x:v>Sore throat and mild fever</x:v>
      </x:c>
      <x:c r="J26" s="54" t="str">
        <x:v>Started within the last 24 hours</x:v>
      </x:c>
      <x:c r="K26" s="54" t="str">
        <x:v>ROUTINE_VARIED</x:v>
      </x:c>
      <x:c r="L26" s="54" t="str">
        <x:v>NONE</x:v>
      </x:c>
      <x:c r="M26" s="54" t="str">
        <x:v>ASSIGNED</x:v>
      </x:c>
      <x:c r="N26" s="54" t="str">
        <x:v>FAST_TRACK</x:v>
      </x:c>
      <x:c r="O26" s="55" t="b">
        <x:v>0</x:v>
      </x:c>
      <x:c r="P26" s="54" t="n">
        <x:v>0</x:v>
      </x:c>
      <x:c r="Q26" s="61" t="str"/>
      <x:c r="R26" s="55" t="b">
        <x:v>1</x:v>
      </x:c>
    </x:row>
    <x:row r="27" ht="36" customHeight="1">
      <x:c r="A27" s="54" t="str">
        <x:v>ENC-HSP-003-006</x:v>
      </x:c>
      <x:c r="B27" s="54" t="str">
        <x:v>ENC-20260902-003-006</x:v>
      </x:c>
      <x:c r="C27" s="54" t="str">
        <x:v>HSP-003-P006</x:v>
      </x:c>
      <x:c r="D27" s="54" t="str">
        <x:v>HSP-003</x:v>
      </x:c>
      <x:c r="E27" s="54" t="str">
        <x:v>QS-HSP-003-20260902</x:v>
      </x:c>
      <x:c r="F27" s="54" t="str">
        <x:v>HSP-003-W03</x:v>
      </x:c>
      <x:c r="G27" s="64" t="n">
        <x:v>46267.40833333333</x:v>
      </x:c>
      <x:c r="H27" s="54" t="str">
        <x:v>WALK_IN</x:v>
      </x:c>
      <x:c r="I27" s="61" t="str">
        <x:v>Small superficial cut</x:v>
      </x:c>
      <x:c r="J27" s="54" t="str">
        <x:v>Started today</x:v>
      </x:c>
      <x:c r="K27" s="54" t="str">
        <x:v>ROUTINE_VARIED</x:v>
      </x:c>
      <x:c r="L27" s="54" t="str">
        <x:v>NONE</x:v>
      </x:c>
      <x:c r="M27" s="54" t="str">
        <x:v>ASSIGNED</x:v>
      </x:c>
      <x:c r="N27" s="54" t="str">
        <x:v>FAST_TRACK</x:v>
      </x:c>
      <x:c r="O27" s="55" t="b">
        <x:v>0</x:v>
      </x:c>
      <x:c r="P27" s="54" t="n">
        <x:v>0</x:v>
      </x:c>
      <x:c r="Q27" s="61" t="str"/>
      <x:c r="R27" s="55" t="b">
        <x:v>1</x:v>
      </x:c>
    </x:row>
    <x:row r="28" ht="36" customHeight="1">
      <x:c r="A28" s="54" t="str">
        <x:v>ENC-HSP-003-007</x:v>
      </x:c>
      <x:c r="B28" s="54" t="str">
        <x:v>ENC-20260902-003-007</x:v>
      </x:c>
      <x:c r="C28" s="54" t="str">
        <x:v>HSP-003-P007</x:v>
      </x:c>
      <x:c r="D28" s="54" t="str">
        <x:v>HSP-003</x:v>
      </x:c>
      <x:c r="E28" s="54" t="str">
        <x:v>QS-HSP-003-20260902</x:v>
      </x:c>
      <x:c r="F28" s="54" t="str">
        <x:v>HSP-003-W02</x:v>
      </x:c>
      <x:c r="G28" s="64" t="n">
        <x:v>46267.413194444445</x:v>
      </x:c>
      <x:c r="H28" s="54" t="str">
        <x:v>REFERRED</x:v>
      </x:c>
      <x:c r="I28" s="61" t="str">
        <x:v>Mild skin rash</x:v>
      </x:c>
      <x:c r="J28" s="54" t="str">
        <x:v>Started within the last 24 hours</x:v>
      </x:c>
      <x:c r="K28" s="54" t="str">
        <x:v>ROUTINE_VARIED</x:v>
      </x:c>
      <x:c r="L28" s="54" t="str">
        <x:v>NONE</x:v>
      </x:c>
      <x:c r="M28" s="54" t="str">
        <x:v>ASSIGNED</x:v>
      </x:c>
      <x:c r="N28" s="54" t="str">
        <x:v>FAST_TRACK</x:v>
      </x:c>
      <x:c r="O28" s="55" t="b">
        <x:v>0</x:v>
      </x:c>
      <x:c r="P28" s="54" t="n">
        <x:v>0</x:v>
      </x:c>
      <x:c r="Q28" s="61" t="str"/>
      <x:c r="R28" s="55" t="b">
        <x:v>1</x:v>
      </x:c>
    </x:row>
    <x:row r="29" ht="36" customHeight="1">
      <x:c r="A29" s="54" t="str">
        <x:v>ENC-HSP-003-008</x:v>
      </x:c>
      <x:c r="B29" s="54" t="str">
        <x:v>ENC-20260902-003-008</x:v>
      </x:c>
      <x:c r="C29" s="54" t="str">
        <x:v>HSP-003-P008</x:v>
      </x:c>
      <x:c r="D29" s="54" t="str">
        <x:v>HSP-003</x:v>
      </x:c>
      <x:c r="E29" s="54" t="str">
        <x:v>QS-HSP-003-20260902</x:v>
      </x:c>
      <x:c r="F29" s="54" t="str">
        <x:v>HSP-003-W02</x:v>
      </x:c>
      <x:c r="G29" s="64" t="n">
        <x:v>46267.41805555556</x:v>
      </x:c>
      <x:c r="H29" s="54" t="str">
        <x:v>AMBULANCE</x:v>
      </x:c>
      <x:c r="I29" s="61" t="str">
        <x:v>Ear pain</x:v>
      </x:c>
      <x:c r="J29" s="54" t="str">
        <x:v>Started today</x:v>
      </x:c>
      <x:c r="K29" s="54" t="str">
        <x:v>ROUTINE_VARIED</x:v>
      </x:c>
      <x:c r="L29" s="54" t="str">
        <x:v>NONE</x:v>
      </x:c>
      <x:c r="M29" s="54" t="str">
        <x:v>WAITING</x:v>
      </x:c>
      <x:c r="N29" s="54" t="str">
        <x:v>FAST_TRACK</x:v>
      </x:c>
      <x:c r="O29" s="55" t="b">
        <x:v>0</x:v>
      </x:c>
      <x:c r="P29" s="54" t="n">
        <x:v>0</x:v>
      </x:c>
      <x:c r="Q29" s="61" t="str"/>
      <x:c r="R29" s="55" t="b">
        <x:v>1</x:v>
      </x:c>
    </x:row>
    <x:row r="30" ht="36" customHeight="1">
      <x:c r="A30" s="54" t="str">
        <x:v>ENC-HSP-003-009</x:v>
      </x:c>
      <x:c r="B30" s="54" t="str">
        <x:v>ENC-20260902-003-009</x:v>
      </x:c>
      <x:c r="C30" s="54" t="str">
        <x:v>HSP-003-P009</x:v>
      </x:c>
      <x:c r="D30" s="54" t="str">
        <x:v>HSP-003</x:v>
      </x:c>
      <x:c r="E30" s="54" t="str">
        <x:v>QS-HSP-003-20260902</x:v>
      </x:c>
      <x:c r="F30" s="54" t="str">
        <x:v>HSP-003-W02</x:v>
      </x:c>
      <x:c r="G30" s="64" t="n">
        <x:v>46267.42291666667</x:v>
      </x:c>
      <x:c r="H30" s="54" t="str">
        <x:v>WALK_IN</x:v>
      </x:c>
      <x:c r="I30" s="61" t="str">
        <x:v>Medication refill request</x:v>
      </x:c>
      <x:c r="J30" s="54" t="str">
        <x:v>Started within the last 24 hours</x:v>
      </x:c>
      <x:c r="K30" s="54" t="str">
        <x:v>ROUTINE_VARIED</x:v>
      </x:c>
      <x:c r="L30" s="54" t="str">
        <x:v>NONE</x:v>
      </x:c>
      <x:c r="M30" s="54" t="str">
        <x:v>WAITING</x:v>
      </x:c>
      <x:c r="N30" s="54" t="str">
        <x:v>FAST_TRACK</x:v>
      </x:c>
      <x:c r="O30" s="55" t="b">
        <x:v>0</x:v>
      </x:c>
      <x:c r="P30" s="54" t="n">
        <x:v>0</x:v>
      </x:c>
      <x:c r="Q30" s="61" t="str"/>
      <x:c r="R30" s="55" t="b">
        <x:v>1</x:v>
      </x:c>
    </x:row>
    <x:row r="31" ht="36" customHeight="1">
      <x:c r="A31" s="54" t="str">
        <x:v>ENC-HSP-003-010</x:v>
      </x:c>
      <x:c r="B31" s="54" t="str">
        <x:v>ENC-20260902-003-010</x:v>
      </x:c>
      <x:c r="C31" s="54" t="str">
        <x:v>HSP-003-P010</x:v>
      </x:c>
      <x:c r="D31" s="54" t="str">
        <x:v>HSP-003</x:v>
      </x:c>
      <x:c r="E31" s="54" t="str">
        <x:v>QS-HSP-003-20260902</x:v>
      </x:c>
      <x:c r="F31" s="54" t="str">
        <x:v>HSP-003-W02</x:v>
      </x:c>
      <x:c r="G31" s="64" t="n">
        <x:v>46267.427777777775</x:v>
      </x:c>
      <x:c r="H31" s="54" t="str">
        <x:v>REFERRED</x:v>
      </x:c>
      <x:c r="I31" s="61" t="str">
        <x:v>Mild seasonal allergy</x:v>
      </x:c>
      <x:c r="J31" s="54" t="str">
        <x:v>Started today</x:v>
      </x:c>
      <x:c r="K31" s="54" t="str">
        <x:v>ROUTINE_VARIED</x:v>
      </x:c>
      <x:c r="L31" s="54" t="str">
        <x:v>NONE</x:v>
      </x:c>
      <x:c r="M31" s="54" t="str">
        <x:v>WAITING</x:v>
      </x:c>
      <x:c r="N31" s="54" t="str">
        <x:v>FAST_TRACK</x:v>
      </x:c>
      <x:c r="O31" s="55" t="b">
        <x:v>0</x:v>
      </x:c>
      <x:c r="P31" s="54" t="n">
        <x:v>0</x:v>
      </x:c>
      <x:c r="Q31" s="61" t="str"/>
      <x:c r="R31" s="55" t="b">
        <x:v>1</x:v>
      </x:c>
    </x:row>
    <x:row r="32" ht="36" customHeight="1">
      <x:c r="A32" s="54" t="str">
        <x:v>ENC-HSP-004-001</x:v>
      </x:c>
      <x:c r="B32" s="54" t="str">
        <x:v>ENC-20260902-004-001</x:v>
      </x:c>
      <x:c r="C32" s="54" t="str">
        <x:v>HSP-004-P001</x:v>
      </x:c>
      <x:c r="D32" s="54" t="str">
        <x:v>HSP-004</x:v>
      </x:c>
      <x:c r="E32" s="54" t="str">
        <x:v>QS-HSP-004-20260902</x:v>
      </x:c>
      <x:c r="F32" s="54" t="str">
        <x:v>HSP-004-W03</x:v>
      </x:c>
      <x:c r="G32" s="64" t="n">
        <x:v>46267.34444444445</x:v>
      </x:c>
      <x:c r="H32" s="54" t="str">
        <x:v>REFERRED</x:v>
      </x:c>
      <x:c r="I32" s="61" t="str">
        <x:v>Routine wound check</x:v>
      </x:c>
      <x:c r="J32" s="54" t="str">
        <x:v>Started within the last 24 hours</x:v>
      </x:c>
      <x:c r="K32" s="54" t="str">
        <x:v>ROUTINE_VARIED</x:v>
      </x:c>
      <x:c r="L32" s="54" t="str">
        <x:v>NONE</x:v>
      </x:c>
      <x:c r="M32" s="54" t="str">
        <x:v>UNDER_ASSESSMENT</x:v>
      </x:c>
      <x:c r="N32" s="54" t="str">
        <x:v>FAST_TRACK</x:v>
      </x:c>
      <x:c r="O32" s="55" t="b">
        <x:v>0</x:v>
      </x:c>
      <x:c r="P32" s="54" t="n">
        <x:v>0</x:v>
      </x:c>
      <x:c r="Q32" s="61" t="str"/>
      <x:c r="R32" s="55" t="b">
        <x:v>1</x:v>
      </x:c>
    </x:row>
    <x:row r="33" ht="36" customHeight="1">
      <x:c r="A33" s="54" t="str">
        <x:v>ENC-HSP-004-002</x:v>
      </x:c>
      <x:c r="B33" s="54" t="str">
        <x:v>ENC-20260902-004-002</x:v>
      </x:c>
      <x:c r="C33" s="54" t="str">
        <x:v>HSP-004-P002</x:v>
      </x:c>
      <x:c r="D33" s="54" t="str">
        <x:v>HSP-004</x:v>
      </x:c>
      <x:c r="E33" s="54" t="str">
        <x:v>QS-HSP-004-20260902</x:v>
      </x:c>
      <x:c r="F33" s="54" t="str">
        <x:v>HSP-004-W02</x:v>
      </x:c>
      <x:c r="G33" s="64" t="n">
        <x:v>46267.34930555556</x:v>
      </x:c>
      <x:c r="H33" s="54" t="str">
        <x:v>REFERRED</x:v>
      </x:c>
      <x:c r="I33" s="61" t="str">
        <x:v>Mild indigestion</x:v>
      </x:c>
      <x:c r="J33" s="54" t="str">
        <x:v>Started today</x:v>
      </x:c>
      <x:c r="K33" s="54" t="str">
        <x:v>ROUTINE_VARIED</x:v>
      </x:c>
      <x:c r="L33" s="54" t="str">
        <x:v>NONE</x:v>
      </x:c>
      <x:c r="M33" s="54" t="str">
        <x:v>UNDER_ASSESSMENT</x:v>
      </x:c>
      <x:c r="N33" s="54" t="str">
        <x:v>FAST_TRACK</x:v>
      </x:c>
      <x:c r="O33" s="55" t="b">
        <x:v>0</x:v>
      </x:c>
      <x:c r="P33" s="54" t="n">
        <x:v>0</x:v>
      </x:c>
      <x:c r="Q33" s="61" t="str"/>
      <x:c r="R33" s="55" t="b">
        <x:v>1</x:v>
      </x:c>
    </x:row>
    <x:row r="34" ht="36" customHeight="1">
      <x:c r="A34" s="54" t="str">
        <x:v>ENC-HSP-004-003</x:v>
      </x:c>
      <x:c r="B34" s="54" t="str">
        <x:v>ENC-20260902-004-003</x:v>
      </x:c>
      <x:c r="C34" s="54" t="str">
        <x:v>HSP-004-P003</x:v>
      </x:c>
      <x:c r="D34" s="54" t="str">
        <x:v>HSP-004</x:v>
      </x:c>
      <x:c r="E34" s="54" t="str">
        <x:v>QS-HSP-004-20260902</x:v>
      </x:c>
      <x:c r="F34" s="54" t="str">
        <x:v>HSP-004-W02</x:v>
      </x:c>
      <x:c r="G34" s="64" t="n">
        <x:v>46267.354166666664</x:v>
      </x:c>
      <x:c r="H34" s="54" t="str">
        <x:v>WALK_IN</x:v>
      </x:c>
      <x:c r="I34" s="61" t="str">
        <x:v>Stable cough without distress</x:v>
      </x:c>
      <x:c r="J34" s="54" t="str">
        <x:v>Started within the last 24 hours</x:v>
      </x:c>
      <x:c r="K34" s="54" t="str">
        <x:v>ROUTINE_VARIED</x:v>
      </x:c>
      <x:c r="L34" s="54" t="str">
        <x:v>NONE</x:v>
      </x:c>
      <x:c r="M34" s="54" t="str">
        <x:v>UNDER_ASSESSMENT</x:v>
      </x:c>
      <x:c r="N34" s="54" t="str">
        <x:v>FAST_TRACK</x:v>
      </x:c>
      <x:c r="O34" s="55" t="b">
        <x:v>0</x:v>
      </x:c>
      <x:c r="P34" s="54" t="n">
        <x:v>0</x:v>
      </x:c>
      <x:c r="Q34" s="61" t="str"/>
      <x:c r="R34" s="55" t="b">
        <x:v>1</x:v>
      </x:c>
    </x:row>
    <x:row r="35" ht="36" customHeight="1">
      <x:c r="A35" s="54" t="str">
        <x:v>ENC-HSP-004-004</x:v>
      </x:c>
      <x:c r="B35" s="54" t="str">
        <x:v>ENC-20260902-004-004</x:v>
      </x:c>
      <x:c r="C35" s="54" t="str">
        <x:v>HSP-004-P004</x:v>
      </x:c>
      <x:c r="D35" s="54" t="str">
        <x:v>HSP-004</x:v>
      </x:c>
      <x:c r="E35" s="54" t="str">
        <x:v>QS-HSP-004-20260902</x:v>
      </x:c>
      <x:c r="F35" s="54" t="str">
        <x:v>HSP-004-W03</x:v>
      </x:c>
      <x:c r="G35" s="64" t="n">
        <x:v>46267.40069444444</x:v>
      </x:c>
      <x:c r="H35" s="54" t="str">
        <x:v>AMBULANCE</x:v>
      </x:c>
      <x:c r="I35" s="61" t="str">
        <x:v>Minor finger injury</x:v>
      </x:c>
      <x:c r="J35" s="54" t="str">
        <x:v>Started today</x:v>
      </x:c>
      <x:c r="K35" s="54" t="str">
        <x:v>ROUTINE_VARIED</x:v>
      </x:c>
      <x:c r="L35" s="54" t="str">
        <x:v>NONE</x:v>
      </x:c>
      <x:c r="M35" s="54" t="str">
        <x:v>ASSIGNED</x:v>
      </x:c>
      <x:c r="N35" s="54" t="str">
        <x:v>FAST_TRACK</x:v>
      </x:c>
      <x:c r="O35" s="55" t="b">
        <x:v>0</x:v>
      </x:c>
      <x:c r="P35" s="54" t="n">
        <x:v>0</x:v>
      </x:c>
      <x:c r="Q35" s="61" t="str"/>
      <x:c r="R35" s="55" t="b">
        <x:v>1</x:v>
      </x:c>
    </x:row>
    <x:row r="36" ht="36" customHeight="1">
      <x:c r="A36" s="54" t="str">
        <x:v>ENC-HSP-004-005</x:v>
      </x:c>
      <x:c r="B36" s="54" t="str">
        <x:v>ENC-20260902-004-005</x:v>
      </x:c>
      <x:c r="C36" s="54" t="str">
        <x:v>HSP-004-P005</x:v>
      </x:c>
      <x:c r="D36" s="54" t="str">
        <x:v>HSP-004</x:v>
      </x:c>
      <x:c r="E36" s="54" t="str">
        <x:v>QS-HSP-004-20260902</x:v>
      </x:c>
      <x:c r="F36" s="54" t="str">
        <x:v>HSP-004-W02</x:v>
      </x:c>
      <x:c r="G36" s="64" t="n">
        <x:v>46267.40555555555</x:v>
      </x:c>
      <x:c r="H36" s="54" t="str">
        <x:v>REFERRED</x:v>
      </x:c>
      <x:c r="I36" s="61" t="str">
        <x:v>Dizziness; history incomplete</x:v>
      </x:c>
      <x:c r="J36" s="54" t="str">
        <x:v>Started within the last 24 hours</x:v>
      </x:c>
      <x:c r="K36" s="54" t="str">
        <x:v>SPECIAL_DEMO</x:v>
      </x:c>
      <x:c r="L36" s="54" t="str">
        <x:v>INCOMPLETE_HISTORY</x:v>
      </x:c>
      <x:c r="M36" s="54" t="str">
        <x:v>ASSIGNED</x:v>
      </x:c>
      <x:c r="N36" s="54" t="str">
        <x:v>DATA_CHECK</x:v>
      </x:c>
      <x:c r="O36" s="55" t="b">
        <x:v>0</x:v>
      </x:c>
      <x:c r="P36" s="54" t="n">
        <x:v>0</x:v>
      </x:c>
      <x:c r="Q36" s="61" t="str">
        <x:v>History supplied partly by caregiver</x:v>
      </x:c>
      <x:c r="R36" s="55" t="b">
        <x:v>1</x:v>
      </x:c>
    </x:row>
    <x:row r="37" ht="36" customHeight="1">
      <x:c r="A37" s="54" t="str">
        <x:v>ENC-HSP-004-006</x:v>
      </x:c>
      <x:c r="B37" s="54" t="str">
        <x:v>ENC-20260902-004-006</x:v>
      </x:c>
      <x:c r="C37" s="54" t="str">
        <x:v>HSP-004-P006</x:v>
      </x:c>
      <x:c r="D37" s="54" t="str">
        <x:v>HSP-004</x:v>
      </x:c>
      <x:c r="E37" s="54" t="str">
        <x:v>QS-HSP-004-20260902</x:v>
      </x:c>
      <x:c r="F37" s="54" t="str">
        <x:v>HSP-004-W01</x:v>
      </x:c>
      <x:c r="G37" s="64" t="n">
        <x:v>46267.410416666666</x:v>
      </x:c>
      <x:c r="H37" s="54" t="str">
        <x:v>WALK_IN</x:v>
      </x:c>
      <x:c r="I37" s="61" t="str">
        <x:v>Low oxygen reading; repeat required</x:v>
      </x:c>
      <x:c r="J37" s="54" t="str">
        <x:v>Started today</x:v>
      </x:c>
      <x:c r="K37" s="54" t="str">
        <x:v>SPECIAL_DEMO</x:v>
      </x:c>
      <x:c r="L37" s="54" t="str">
        <x:v>REASSESSMENT</x:v>
      </x:c>
      <x:c r="M37" s="54" t="str">
        <x:v>ASSIGNED</x:v>
      </x:c>
      <x:c r="N37" s="54" t="str">
        <x:v>REASSESS</x:v>
      </x:c>
      <x:c r="O37" s="55" t="b">
        <x:v>0</x:v>
      </x:c>
      <x:c r="P37" s="54" t="n">
        <x:v>0</x:v>
      </x:c>
      <x:c r="Q37" s="61" t="str"/>
      <x:c r="R37" s="55" t="b">
        <x:v>1</x:v>
      </x:c>
    </x:row>
    <x:row r="38" ht="36" customHeight="1">
      <x:c r="A38" s="54" t="str">
        <x:v>ENC-HSP-004-007</x:v>
      </x:c>
      <x:c r="B38" s="54" t="str">
        <x:v>ENC-20260902-004-007</x:v>
      </x:c>
      <x:c r="C38" s="54" t="str">
        <x:v>HSP-004-P007</x:v>
      </x:c>
      <x:c r="D38" s="54" t="str">
        <x:v>HSP-004</x:v>
      </x:c>
      <x:c r="E38" s="54" t="str">
        <x:v>QS-HSP-004-20260902</x:v>
      </x:c>
      <x:c r="F38" s="54" t="str">
        <x:v>HSP-004-W03</x:v>
      </x:c>
      <x:c r="G38" s="64" t="n">
        <x:v>46267.41527777778</x:v>
      </x:c>
      <x:c r="H38" s="54" t="str">
        <x:v>REFERRED</x:v>
      </x:c>
      <x:c r="I38" s="61" t="str">
        <x:v>Abdominal pain; symptoms worsening</x:v>
      </x:c>
      <x:c r="J38" s="54" t="str">
        <x:v>Started within the last 24 hours</x:v>
      </x:c>
      <x:c r="K38" s="54" t="str">
        <x:v>SPECIAL_DEMO</x:v>
      </x:c>
      <x:c r="L38" s="54" t="str">
        <x:v>DETERIORATION</x:v>
      </x:c>
      <x:c r="M38" s="54" t="str">
        <x:v>ASSIGNED</x:v>
      </x:c>
      <x:c r="N38" s="54" t="str">
        <x:v>REASSESS</x:v>
      </x:c>
      <x:c r="O38" s="55" t="b">
        <x:v>0</x:v>
      </x:c>
      <x:c r="P38" s="54" t="n">
        <x:v>0</x:v>
      </x:c>
      <x:c r="Q38" s="61" t="str"/>
      <x:c r="R38" s="55" t="b">
        <x:v>1</x:v>
      </x:c>
    </x:row>
    <x:row r="39" ht="36" customHeight="1">
      <x:c r="A39" s="54" t="str">
        <x:v>ENC-HSP-004-008</x:v>
      </x:c>
      <x:c r="B39" s="54" t="str">
        <x:v>ENC-20260902-004-008</x:v>
      </x:c>
      <x:c r="C39" s="54" t="str">
        <x:v>HSP-004-P008</x:v>
      </x:c>
      <x:c r="D39" s="54" t="str">
        <x:v>HSP-004</x:v>
      </x:c>
      <x:c r="E39" s="54" t="str">
        <x:v>QS-HSP-004-20260902</x:v>
      </x:c>
      <x:c r="F39" s="54" t="str">
        <x:v>HSP-004-W02</x:v>
      </x:c>
      <x:c r="G39" s="64" t="n">
        <x:v>46267.42013888889</x:v>
      </x:c>
      <x:c r="H39" s="54" t="str">
        <x:v>AMBULANCE</x:v>
      </x:c>
      <x:c r="I39" s="61" t="str">
        <x:v>Fever; blood pressure reading missing</x:v>
      </x:c>
      <x:c r="J39" s="54" t="str">
        <x:v>Started today</x:v>
      </x:c>
      <x:c r="K39" s="54" t="str">
        <x:v>SPECIAL_DEMO</x:v>
      </x:c>
      <x:c r="L39" s="54" t="str">
        <x:v>MISSING_VITAL</x:v>
      </x:c>
      <x:c r="M39" s="54" t="str">
        <x:v>WAITING</x:v>
      </x:c>
      <x:c r="N39" s="54" t="str">
        <x:v>DATA_CHECK</x:v>
      </x:c>
      <x:c r="O39" s="55" t="b">
        <x:v>0</x:v>
      </x:c>
      <x:c r="P39" s="54" t="n">
        <x:v>0</x:v>
      </x:c>
      <x:c r="Q39" s="61" t="str">
        <x:v>Initial blood pressure unavailable</x:v>
      </x:c>
      <x:c r="R39" s="55" t="b">
        <x:v>1</x:v>
      </x:c>
    </x:row>
    <x:row r="40" ht="36" customHeight="1">
      <x:c r="A40" s="54" t="str">
        <x:v>ENC-HSP-004-009</x:v>
      </x:c>
      <x:c r="B40" s="54" t="str">
        <x:v>ENC-20260902-004-009</x:v>
      </x:c>
      <x:c r="C40" s="54" t="str">
        <x:v>HSP-004-P009</x:v>
      </x:c>
      <x:c r="D40" s="54" t="str">
        <x:v>HSP-004</x:v>
      </x:c>
      <x:c r="E40" s="54" t="str">
        <x:v>QS-HSP-004-20260902</x:v>
      </x:c>
      <x:c r="F40" s="54" t="str">
        <x:v>HSP-004-W03</x:v>
      </x:c>
      <x:c r="G40" s="64" t="n">
        <x:v>46267.425</x:v>
      </x:c>
      <x:c r="H40" s="54" t="str">
        <x:v>WALK_IN</x:v>
      </x:c>
      <x:c r="I40" s="61" t="str">
        <x:v>Moderate pain; queue delay flagged</x:v>
      </x:c>
      <x:c r="J40" s="54" t="str">
        <x:v>Started within the last 24 hours</x:v>
      </x:c>
      <x:c r="K40" s="54" t="str">
        <x:v>SPECIAL_DEMO</x:v>
      </x:c>
      <x:c r="L40" s="54" t="str">
        <x:v>QUEUE_DELAY</x:v>
      </x:c>
      <x:c r="M40" s="54" t="str">
        <x:v>WAITING</x:v>
      </x:c>
      <x:c r="N40" s="54" t="str">
        <x:v>QUEUE_BOOST</x:v>
      </x:c>
      <x:c r="O40" s="55" t="b">
        <x:v>0</x:v>
      </x:c>
      <x:c r="P40" s="54" t="n">
        <x:v>2</x:v>
      </x:c>
      <x:c r="Q40" s="61" t="str"/>
      <x:c r="R40" s="55" t="b">
        <x:v>1</x:v>
      </x:c>
    </x:row>
    <x:row r="41" ht="36" customHeight="1">
      <x:c r="A41" s="56" t="str">
        <x:v>ENC-HSP-004-010</x:v>
      </x:c>
      <x:c r="B41" s="56" t="str">
        <x:v>ENC-20260902-004-010</x:v>
      </x:c>
      <x:c r="C41" s="56" t="str">
        <x:v>HSP-004-P010</x:v>
      </x:c>
      <x:c r="D41" s="56" t="str">
        <x:v>HSP-004</x:v>
      </x:c>
      <x:c r="E41" s="56" t="str">
        <x:v>QS-HSP-004-20260902</x:v>
      </x:c>
      <x:c r="F41" s="56" t="str">
        <x:v>HSP-004-W01</x:v>
      </x:c>
      <x:c r="G41" s="65" t="n">
        <x:v>46267.42986111111</x:v>
      </x:c>
      <x:c r="H41" s="56" t="str">
        <x:v>REFERRED</x:v>
      </x:c>
      <x:c r="I41" s="62" t="str">
        <x:v>Needs specialist not available locally</x:v>
      </x:c>
      <x:c r="J41" s="56" t="str">
        <x:v>Started today</x:v>
      </x:c>
      <x:c r="K41" s="56" t="str">
        <x:v>SPECIAL_DEMO</x:v>
      </x:c>
      <x:c r="L41" s="56" t="str">
        <x:v>TRANSFER_REQUIRED</x:v>
      </x:c>
      <x:c r="M41" s="56" t="str">
        <x:v>WAITING</x:v>
      </x:c>
      <x:c r="N41" s="56" t="str">
        <x:v>TRANSFER_REVIEW</x:v>
      </x:c>
      <x:c r="O41" s="57" t="b">
        <x:v>1</x:v>
      </x:c>
      <x:c r="P41" s="56" t="n">
        <x:v>0</x:v>
      </x:c>
      <x:c r="Q41" s="62" t="str"/>
      <x:c r="R41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80da2f2b3d940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</x:cols>
  <x:sheetData>
    <x:row r="1" ht="34" customHeight="1">
      <x:c r="A1" s="53" t="str">
        <x:v>doctor_assignment_id</x:v>
      </x:c>
      <x:c r="B1" s="53" t="str">
        <x:v>encounter_id</x:v>
      </x:c>
      <x:c r="C1" s="53" t="str">
        <x:v>doctor_staff_id</x:v>
      </x:c>
      <x:c r="D1" s="63" t="str">
        <x:v>assigned_at</x:v>
      </x:c>
      <x:c r="E1" s="63" t="str">
        <x:v>released_at</x:v>
      </x:c>
      <x:c r="F1" s="53" t="str">
        <x:v>assignment_reason</x:v>
      </x:c>
      <x:c r="G1" s="53" t="str">
        <x:v>is_active</x:v>
      </x:c>
    </x:row>
    <x:row r="2" ht="28" customHeight="1">
      <x:c r="A2" s="54" t="str">
        <x:v>DA-ENC-HSP-001-001</x:v>
      </x:c>
      <x:c r="B2" s="54" t="str">
        <x:v>ENC-HSP-001-001</x:v>
      </x:c>
      <x:c r="C2" s="54" t="str">
        <x:v>HSP-001-D01</x:v>
      </x:c>
      <x:c r="D2" s="64" t="n">
        <x:v>46267.34375</x:v>
      </x:c>
      <x:c r="E2" s="64"/>
      <x:c r="F2" s="54" t="str">
        <x:v>Initial demo assignment</x:v>
      </x:c>
      <x:c r="G2" s="55" t="b">
        <x:v>1</x:v>
      </x:c>
    </x:row>
    <x:row r="3" ht="28" customHeight="1">
      <x:c r="A3" s="54" t="str">
        <x:v>DA-ENC-HSP-001-002</x:v>
      </x:c>
      <x:c r="B3" s="54" t="str">
        <x:v>ENC-HSP-001-002</x:v>
      </x:c>
      <x:c r="C3" s="54" t="str">
        <x:v>HSP-001-D02</x:v>
      </x:c>
      <x:c r="D3" s="64" t="n">
        <x:v>46267.34861111111</x:v>
      </x:c>
      <x:c r="E3" s="64"/>
      <x:c r="F3" s="54" t="str">
        <x:v>Initial demo assignment</x:v>
      </x:c>
      <x:c r="G3" s="55" t="b">
        <x:v>1</x:v>
      </x:c>
    </x:row>
    <x:row r="4" ht="28" customHeight="1">
      <x:c r="A4" s="54" t="str">
        <x:v>DA-ENC-HSP-001-003</x:v>
      </x:c>
      <x:c r="B4" s="54" t="str">
        <x:v>ENC-HSP-001-003</x:v>
      </x:c>
      <x:c r="C4" s="54" t="str">
        <x:v>HSP-001-D03</x:v>
      </x:c>
      <x:c r="D4" s="64" t="n">
        <x:v>46267.353472222225</x:v>
      </x:c>
      <x:c r="E4" s="64"/>
      <x:c r="F4" s="54" t="str">
        <x:v>Initial demo assignment</x:v>
      </x:c>
      <x:c r="G4" s="55" t="b">
        <x:v>1</x:v>
      </x:c>
    </x:row>
    <x:row r="5" ht="28" customHeight="1">
      <x:c r="A5" s="54" t="str">
        <x:v>DA-ENC-HSP-001-004</x:v>
      </x:c>
      <x:c r="B5" s="54" t="str">
        <x:v>ENC-HSP-001-004</x:v>
      </x:c>
      <x:c r="C5" s="54" t="str">
        <x:v>HSP-001-D04</x:v>
      </x:c>
      <x:c r="D5" s="64" t="n">
        <x:v>46267.4</x:v>
      </x:c>
      <x:c r="E5" s="64"/>
      <x:c r="F5" s="54" t="str">
        <x:v>Initial demo assignment</x:v>
      </x:c>
      <x:c r="G5" s="55" t="b">
        <x:v>1</x:v>
      </x:c>
    </x:row>
    <x:row r="6" ht="28" customHeight="1">
      <x:c r="A6" s="54" t="str">
        <x:v>DA-ENC-HSP-001-005</x:v>
      </x:c>
      <x:c r="B6" s="54" t="str">
        <x:v>ENC-HSP-001-005</x:v>
      </x:c>
      <x:c r="C6" s="54" t="str">
        <x:v>HSP-001-D05</x:v>
      </x:c>
      <x:c r="D6" s="64" t="n">
        <x:v>46267.404861111114</x:v>
      </x:c>
      <x:c r="E6" s="64"/>
      <x:c r="F6" s="54" t="str">
        <x:v>Initial demo assignment</x:v>
      </x:c>
      <x:c r="G6" s="55" t="b">
        <x:v>1</x:v>
      </x:c>
    </x:row>
    <x:row r="7" ht="28" customHeight="1">
      <x:c r="A7" s="54" t="str">
        <x:v>DA-ENC-HSP-001-006</x:v>
      </x:c>
      <x:c r="B7" s="54" t="str">
        <x:v>ENC-HSP-001-006</x:v>
      </x:c>
      <x:c r="C7" s="54" t="str">
        <x:v>HSP-001-D01</x:v>
      </x:c>
      <x:c r="D7" s="64" t="n">
        <x:v>46267.40972222222</x:v>
      </x:c>
      <x:c r="E7" s="64"/>
      <x:c r="F7" s="54" t="str">
        <x:v>Initial demo assignment</x:v>
      </x:c>
      <x:c r="G7" s="55" t="b">
        <x:v>1</x:v>
      </x:c>
    </x:row>
    <x:row r="8" ht="28" customHeight="1">
      <x:c r="A8" s="54" t="str">
        <x:v>DA-ENC-HSP-001-007</x:v>
      </x:c>
      <x:c r="B8" s="54" t="str">
        <x:v>ENC-HSP-001-007</x:v>
      </x:c>
      <x:c r="C8" s="54" t="str">
        <x:v>HSP-001-D02</x:v>
      </x:c>
      <x:c r="D8" s="64" t="n">
        <x:v>46267.41458333333</x:v>
      </x:c>
      <x:c r="E8" s="64"/>
      <x:c r="F8" s="54" t="str">
        <x:v>Initial demo assignment</x:v>
      </x:c>
      <x:c r="G8" s="55" t="b">
        <x:v>1</x:v>
      </x:c>
    </x:row>
    <x:row r="9" ht="28" customHeight="1">
      <x:c r="A9" s="54" t="str">
        <x:v>DA-ENC-HSP-001-008</x:v>
      </x:c>
      <x:c r="B9" s="54" t="str">
        <x:v>ENC-HSP-001-008</x:v>
      </x:c>
      <x:c r="C9" s="54" t="str">
        <x:v>HSP-001-D03</x:v>
      </x:c>
      <x:c r="D9" s="64" t="n">
        <x:v>46267.46111111111</x:v>
      </x:c>
      <x:c r="E9" s="64"/>
      <x:c r="F9" s="54" t="str">
        <x:v>Initial demo assignment</x:v>
      </x:c>
      <x:c r="G9" s="55" t="b">
        <x:v>1</x:v>
      </x:c>
    </x:row>
    <x:row r="10" ht="28" customHeight="1">
      <x:c r="A10" s="54" t="str">
        <x:v>DA-ENC-HSP-001-009</x:v>
      </x:c>
      <x:c r="B10" s="54" t="str">
        <x:v>ENC-HSP-001-009</x:v>
      </x:c>
      <x:c r="C10" s="54" t="str">
        <x:v>HSP-001-D04</x:v>
      </x:c>
      <x:c r="D10" s="64" t="n">
        <x:v>46267.424305555556</x:v>
      </x:c>
      <x:c r="E10" s="64"/>
      <x:c r="F10" s="54" t="str">
        <x:v>Initial demo assignment</x:v>
      </x:c>
      <x:c r="G10" s="55" t="b">
        <x:v>1</x:v>
      </x:c>
    </x:row>
    <x:row r="11" ht="28" customHeight="1">
      <x:c r="A11" s="54" t="str">
        <x:v>DA-ENC-HSP-001-010</x:v>
      </x:c>
      <x:c r="B11" s="54" t="str">
        <x:v>ENC-HSP-001-010</x:v>
      </x:c>
      <x:c r="C11" s="54" t="str">
        <x:v>HSP-001-D05</x:v>
      </x:c>
      <x:c r="D11" s="64" t="n">
        <x:v>46267.42916666667</x:v>
      </x:c>
      <x:c r="E11" s="64"/>
      <x:c r="F11" s="54" t="str">
        <x:v>Initial demo assignment</x:v>
      </x:c>
      <x:c r="G11" s="55" t="b">
        <x:v>1</x:v>
      </x:c>
    </x:row>
    <x:row r="12" ht="28" customHeight="1">
      <x:c r="A12" s="54" t="str">
        <x:v>DA-ENC-HSP-002-001</x:v>
      </x:c>
      <x:c r="B12" s="54" t="str">
        <x:v>ENC-HSP-002-001</x:v>
      </x:c>
      <x:c r="C12" s="54" t="str">
        <x:v>HSP-002-D01</x:v>
      </x:c>
      <x:c r="D12" s="64" t="n">
        <x:v>46267.34583333333</x:v>
      </x:c>
      <x:c r="E12" s="64"/>
      <x:c r="F12" s="54" t="str">
        <x:v>Initial demo assignment</x:v>
      </x:c>
      <x:c r="G12" s="55" t="b">
        <x:v>1</x:v>
      </x:c>
    </x:row>
    <x:row r="13" ht="28" customHeight="1">
      <x:c r="A13" s="54" t="str">
        <x:v>DA-ENC-HSP-002-002</x:v>
      </x:c>
      <x:c r="B13" s="54" t="str">
        <x:v>ENC-HSP-002-002</x:v>
      </x:c>
      <x:c r="C13" s="54" t="str">
        <x:v>HSP-002-D02</x:v>
      </x:c>
      <x:c r="D13" s="64" t="n">
        <x:v>46267.350694444445</x:v>
      </x:c>
      <x:c r="E13" s="64"/>
      <x:c r="F13" s="54" t="str">
        <x:v>Initial demo assignment</x:v>
      </x:c>
      <x:c r="G13" s="55" t="b">
        <x:v>1</x:v>
      </x:c>
    </x:row>
    <x:row r="14" ht="28" customHeight="1">
      <x:c r="A14" s="54" t="str">
        <x:v>DA-ENC-HSP-002-003</x:v>
      </x:c>
      <x:c r="B14" s="54" t="str">
        <x:v>ENC-HSP-002-003</x:v>
      </x:c>
      <x:c r="C14" s="54" t="str">
        <x:v>HSP-002-D03</x:v>
      </x:c>
      <x:c r="D14" s="64" t="n">
        <x:v>46267.35555555556</x:v>
      </x:c>
      <x:c r="E14" s="64"/>
      <x:c r="F14" s="54" t="str">
        <x:v>Initial demo assignment</x:v>
      </x:c>
      <x:c r="G14" s="55" t="b">
        <x:v>1</x:v>
      </x:c>
    </x:row>
    <x:row r="15" ht="28" customHeight="1">
      <x:c r="A15" s="54" t="str">
        <x:v>DA-ENC-HSP-002-004</x:v>
      </x:c>
      <x:c r="B15" s="54" t="str">
        <x:v>ENC-HSP-002-004</x:v>
      </x:c>
      <x:c r="C15" s="54" t="str">
        <x:v>HSP-002-D04</x:v>
      </x:c>
      <x:c r="D15" s="64" t="n">
        <x:v>46267.402083333334</x:v>
      </x:c>
      <x:c r="E15" s="64"/>
      <x:c r="F15" s="54" t="str">
        <x:v>Initial demo assignment</x:v>
      </x:c>
      <x:c r="G15" s="55" t="b">
        <x:v>1</x:v>
      </x:c>
    </x:row>
    <x:row r="16" ht="28" customHeight="1">
      <x:c r="A16" s="54" t="str">
        <x:v>DA-ENC-HSP-002-005</x:v>
      </x:c>
      <x:c r="B16" s="54" t="str">
        <x:v>ENC-HSP-002-005</x:v>
      </x:c>
      <x:c r="C16" s="54" t="str">
        <x:v>HSP-002-D05</x:v>
      </x:c>
      <x:c r="D16" s="64" t="n">
        <x:v>46267.40694444445</x:v>
      </x:c>
      <x:c r="E16" s="64"/>
      <x:c r="F16" s="54" t="str">
        <x:v>Initial demo assignment</x:v>
      </x:c>
      <x:c r="G16" s="55" t="b">
        <x:v>1</x:v>
      </x:c>
    </x:row>
    <x:row r="17" ht="28" customHeight="1">
      <x:c r="A17" s="54" t="str">
        <x:v>DA-ENC-HSP-002-006</x:v>
      </x:c>
      <x:c r="B17" s="54" t="str">
        <x:v>ENC-HSP-002-006</x:v>
      </x:c>
      <x:c r="C17" s="54" t="str">
        <x:v>HSP-002-D01</x:v>
      </x:c>
      <x:c r="D17" s="64" t="n">
        <x:v>46267.41180555556</x:v>
      </x:c>
      <x:c r="E17" s="64"/>
      <x:c r="F17" s="54" t="str">
        <x:v>Initial demo assignment</x:v>
      </x:c>
      <x:c r="G17" s="55" t="b">
        <x:v>1</x:v>
      </x:c>
    </x:row>
    <x:row r="18" ht="28" customHeight="1">
      <x:c r="A18" s="54" t="str">
        <x:v>DA-ENC-HSP-002-007</x:v>
      </x:c>
      <x:c r="B18" s="54" t="str">
        <x:v>ENC-HSP-002-007</x:v>
      </x:c>
      <x:c r="C18" s="54" t="str">
        <x:v>HSP-002-D02</x:v>
      </x:c>
      <x:c r="D18" s="64" t="n">
        <x:v>46267.416666666664</x:v>
      </x:c>
      <x:c r="E18" s="64"/>
      <x:c r="F18" s="54" t="str">
        <x:v>Initial demo assignment</x:v>
      </x:c>
      <x:c r="G18" s="55" t="b">
        <x:v>1</x:v>
      </x:c>
    </x:row>
    <x:row r="19" ht="28" customHeight="1">
      <x:c r="A19" s="54" t="str">
        <x:v>DA-ENC-HSP-002-008</x:v>
      </x:c>
      <x:c r="B19" s="54" t="str">
        <x:v>ENC-HSP-002-008</x:v>
      </x:c>
      <x:c r="C19" s="54" t="str">
        <x:v>HSP-002-D03</x:v>
      </x:c>
      <x:c r="D19" s="64" t="n">
        <x:v>46267.46319444444</x:v>
      </x:c>
      <x:c r="E19" s="64"/>
      <x:c r="F19" s="54" t="str">
        <x:v>Initial demo assignment</x:v>
      </x:c>
      <x:c r="G19" s="55" t="b">
        <x:v>1</x:v>
      </x:c>
    </x:row>
    <x:row r="20" ht="28" customHeight="1">
      <x:c r="A20" s="54" t="str">
        <x:v>DA-ENC-HSP-002-009</x:v>
      </x:c>
      <x:c r="B20" s="54" t="str">
        <x:v>ENC-HSP-002-009</x:v>
      </x:c>
      <x:c r="C20" s="54" t="str">
        <x:v>HSP-002-D04</x:v>
      </x:c>
      <x:c r="D20" s="64" t="n">
        <x:v>46267.42638888889</x:v>
      </x:c>
      <x:c r="E20" s="64"/>
      <x:c r="F20" s="54" t="str">
        <x:v>Initial demo assignment</x:v>
      </x:c>
      <x:c r="G20" s="55" t="b">
        <x:v>1</x:v>
      </x:c>
    </x:row>
    <x:row r="21" ht="28" customHeight="1">
      <x:c r="A21" s="54" t="str">
        <x:v>DA-ENC-HSP-002-010</x:v>
      </x:c>
      <x:c r="B21" s="54" t="str">
        <x:v>ENC-HSP-002-010</x:v>
      </x:c>
      <x:c r="C21" s="54" t="str">
        <x:v>HSP-002-D05</x:v>
      </x:c>
      <x:c r="D21" s="64" t="n">
        <x:v>46267.43125</x:v>
      </x:c>
      <x:c r="E21" s="64"/>
      <x:c r="F21" s="54" t="str">
        <x:v>Initial demo assignment</x:v>
      </x:c>
      <x:c r="G21" s="55" t="b">
        <x:v>1</x:v>
      </x:c>
    </x:row>
    <x:row r="22" ht="28" customHeight="1">
      <x:c r="A22" s="54" t="str">
        <x:v>DA-ENC-HSP-003-001</x:v>
      </x:c>
      <x:c r="B22" s="54" t="str">
        <x:v>ENC-HSP-003-001</x:v>
      </x:c>
      <x:c r="C22" s="54" t="str">
        <x:v>HSP-003-D01</x:v>
      </x:c>
      <x:c r="D22" s="64" t="n">
        <x:v>46267.347916666666</x:v>
      </x:c>
      <x:c r="E22" s="64"/>
      <x:c r="F22" s="54" t="str">
        <x:v>Initial demo assignment</x:v>
      </x:c>
      <x:c r="G22" s="55" t="b">
        <x:v>1</x:v>
      </x:c>
    </x:row>
    <x:row r="23" ht="28" customHeight="1">
      <x:c r="A23" s="54" t="str">
        <x:v>DA-ENC-HSP-003-002</x:v>
      </x:c>
      <x:c r="B23" s="54" t="str">
        <x:v>ENC-HSP-003-002</x:v>
      </x:c>
      <x:c r="C23" s="54" t="str">
        <x:v>HSP-003-D02</x:v>
      </x:c>
      <x:c r="D23" s="64" t="n">
        <x:v>46267.35277777778</x:v>
      </x:c>
      <x:c r="E23" s="64"/>
      <x:c r="F23" s="54" t="str">
        <x:v>Initial demo assignment</x:v>
      </x:c>
      <x:c r="G23" s="55" t="b">
        <x:v>1</x:v>
      </x:c>
    </x:row>
    <x:row r="24" ht="28" customHeight="1">
      <x:c r="A24" s="54" t="str">
        <x:v>DA-ENC-HSP-003-003</x:v>
      </x:c>
      <x:c r="B24" s="54" t="str">
        <x:v>ENC-HSP-003-003</x:v>
      </x:c>
      <x:c r="C24" s="54" t="str">
        <x:v>HSP-003-D03</x:v>
      </x:c>
      <x:c r="D24" s="64" t="n">
        <x:v>46267.35763888889</x:v>
      </x:c>
      <x:c r="E24" s="64"/>
      <x:c r="F24" s="54" t="str">
        <x:v>Initial demo assignment</x:v>
      </x:c>
      <x:c r="G24" s="55" t="b">
        <x:v>1</x:v>
      </x:c>
    </x:row>
    <x:row r="25" ht="28" customHeight="1">
      <x:c r="A25" s="54" t="str">
        <x:v>DA-ENC-HSP-003-004</x:v>
      </x:c>
      <x:c r="B25" s="54" t="str">
        <x:v>ENC-HSP-003-004</x:v>
      </x:c>
      <x:c r="C25" s="54" t="str">
        <x:v>HSP-003-D04</x:v>
      </x:c>
      <x:c r="D25" s="64" t="n">
        <x:v>46267.40416666667</x:v>
      </x:c>
      <x:c r="E25" s="64"/>
      <x:c r="F25" s="54" t="str">
        <x:v>Initial demo assignment</x:v>
      </x:c>
      <x:c r="G25" s="55" t="b">
        <x:v>1</x:v>
      </x:c>
    </x:row>
    <x:row r="26" ht="28" customHeight="1">
      <x:c r="A26" s="54" t="str">
        <x:v>DA-ENC-HSP-003-005</x:v>
      </x:c>
      <x:c r="B26" s="54" t="str">
        <x:v>ENC-HSP-003-005</x:v>
      </x:c>
      <x:c r="C26" s="54" t="str">
        <x:v>HSP-003-D05</x:v>
      </x:c>
      <x:c r="D26" s="64" t="n">
        <x:v>46267.40902777778</x:v>
      </x:c>
      <x:c r="E26" s="64"/>
      <x:c r="F26" s="54" t="str">
        <x:v>Initial demo assignment</x:v>
      </x:c>
      <x:c r="G26" s="55" t="b">
        <x:v>1</x:v>
      </x:c>
    </x:row>
    <x:row r="27" ht="28" customHeight="1">
      <x:c r="A27" s="54" t="str">
        <x:v>DA-ENC-HSP-003-006</x:v>
      </x:c>
      <x:c r="B27" s="54" t="str">
        <x:v>ENC-HSP-003-006</x:v>
      </x:c>
      <x:c r="C27" s="54" t="str">
        <x:v>HSP-003-D01</x:v>
      </x:c>
      <x:c r="D27" s="64" t="n">
        <x:v>46267.41388888889</x:v>
      </x:c>
      <x:c r="E27" s="64"/>
      <x:c r="F27" s="54" t="str">
        <x:v>Initial demo assignment</x:v>
      </x:c>
      <x:c r="G27" s="55" t="b">
        <x:v>1</x:v>
      </x:c>
    </x:row>
    <x:row r="28" ht="28" customHeight="1">
      <x:c r="A28" s="54" t="str">
        <x:v>DA-ENC-HSP-003-007</x:v>
      </x:c>
      <x:c r="B28" s="54" t="str">
        <x:v>ENC-HSP-003-007</x:v>
      </x:c>
      <x:c r="C28" s="54" t="str">
        <x:v>HSP-003-D02</x:v>
      </x:c>
      <x:c r="D28" s="64" t="n">
        <x:v>46267.41875</x:v>
      </x:c>
      <x:c r="E28" s="64"/>
      <x:c r="F28" s="54" t="str">
        <x:v>Initial demo assignment</x:v>
      </x:c>
      <x:c r="G28" s="55" t="b">
        <x:v>1</x:v>
      </x:c>
    </x:row>
    <x:row r="29" ht="28" customHeight="1">
      <x:c r="A29" s="54" t="str">
        <x:v>DA-ENC-HSP-003-008</x:v>
      </x:c>
      <x:c r="B29" s="54" t="str">
        <x:v>ENC-HSP-003-008</x:v>
      </x:c>
      <x:c r="C29" s="54" t="str">
        <x:v>HSP-003-D03</x:v>
      </x:c>
      <x:c r="D29" s="64" t="n">
        <x:v>46267.42361111111</x:v>
      </x:c>
      <x:c r="E29" s="64"/>
      <x:c r="F29" s="54" t="str">
        <x:v>Initial demo assignment</x:v>
      </x:c>
      <x:c r="G29" s="55" t="b">
        <x:v>1</x:v>
      </x:c>
    </x:row>
    <x:row r="30" ht="28" customHeight="1">
      <x:c r="A30" s="54" t="str">
        <x:v>DA-ENC-HSP-003-009</x:v>
      </x:c>
      <x:c r="B30" s="54" t="str">
        <x:v>ENC-HSP-003-009</x:v>
      </x:c>
      <x:c r="C30" s="54" t="str">
        <x:v>HSP-003-D04</x:v>
      </x:c>
      <x:c r="D30" s="64" t="n">
        <x:v>46267.42847222222</x:v>
      </x:c>
      <x:c r="E30" s="64"/>
      <x:c r="F30" s="54" t="str">
        <x:v>Initial demo assignment</x:v>
      </x:c>
      <x:c r="G30" s="55" t="b">
        <x:v>1</x:v>
      </x:c>
    </x:row>
    <x:row r="31" ht="28" customHeight="1">
      <x:c r="A31" s="54" t="str">
        <x:v>DA-ENC-HSP-003-010</x:v>
      </x:c>
      <x:c r="B31" s="54" t="str">
        <x:v>ENC-HSP-003-010</x:v>
      </x:c>
      <x:c r="C31" s="54" t="str">
        <x:v>HSP-003-D05</x:v>
      </x:c>
      <x:c r="D31" s="64" t="n">
        <x:v>46267.433333333334</x:v>
      </x:c>
      <x:c r="E31" s="64"/>
      <x:c r="F31" s="54" t="str">
        <x:v>Initial demo assignment</x:v>
      </x:c>
      <x:c r="G31" s="55" t="b">
        <x:v>1</x:v>
      </x:c>
    </x:row>
    <x:row r="32" ht="28" customHeight="1">
      <x:c r="A32" s="54" t="str">
        <x:v>DA-ENC-HSP-004-001</x:v>
      </x:c>
      <x:c r="B32" s="54" t="str">
        <x:v>ENC-HSP-004-001</x:v>
      </x:c>
      <x:c r="C32" s="54" t="str">
        <x:v>HSP-004-D01</x:v>
      </x:c>
      <x:c r="D32" s="64" t="n">
        <x:v>46267.35</x:v>
      </x:c>
      <x:c r="E32" s="64"/>
      <x:c r="F32" s="54" t="str">
        <x:v>Initial demo assignment</x:v>
      </x:c>
      <x:c r="G32" s="55" t="b">
        <x:v>1</x:v>
      </x:c>
    </x:row>
    <x:row r="33" ht="28" customHeight="1">
      <x:c r="A33" s="54" t="str">
        <x:v>DA-ENC-HSP-004-002</x:v>
      </x:c>
      <x:c r="B33" s="54" t="str">
        <x:v>ENC-HSP-004-002</x:v>
      </x:c>
      <x:c r="C33" s="54" t="str">
        <x:v>HSP-004-D02</x:v>
      </x:c>
      <x:c r="D33" s="64" t="n">
        <x:v>46267.35486111111</x:v>
      </x:c>
      <x:c r="E33" s="64"/>
      <x:c r="F33" s="54" t="str">
        <x:v>Initial demo assignment</x:v>
      </x:c>
      <x:c r="G33" s="55" t="b">
        <x:v>1</x:v>
      </x:c>
    </x:row>
    <x:row r="34" ht="28" customHeight="1">
      <x:c r="A34" s="54" t="str">
        <x:v>DA-ENC-HSP-004-003</x:v>
      </x:c>
      <x:c r="B34" s="54" t="str">
        <x:v>ENC-HSP-004-003</x:v>
      </x:c>
      <x:c r="C34" s="54" t="str">
        <x:v>HSP-004-D03</x:v>
      </x:c>
      <x:c r="D34" s="64" t="n">
        <x:v>46267.35972222222</x:v>
      </x:c>
      <x:c r="E34" s="64"/>
      <x:c r="F34" s="54" t="str">
        <x:v>Initial demo assignment</x:v>
      </x:c>
      <x:c r="G34" s="55" t="b">
        <x:v>1</x:v>
      </x:c>
    </x:row>
    <x:row r="35" ht="28" customHeight="1">
      <x:c r="A35" s="54" t="str">
        <x:v>DA-ENC-HSP-004-004</x:v>
      </x:c>
      <x:c r="B35" s="54" t="str">
        <x:v>ENC-HSP-004-004</x:v>
      </x:c>
      <x:c r="C35" s="54" t="str">
        <x:v>HSP-004-D04</x:v>
      </x:c>
      <x:c r="D35" s="64" t="n">
        <x:v>46267.40625</x:v>
      </x:c>
      <x:c r="E35" s="64"/>
      <x:c r="F35" s="54" t="str">
        <x:v>Initial demo assignment</x:v>
      </x:c>
      <x:c r="G35" s="55" t="b">
        <x:v>1</x:v>
      </x:c>
    </x:row>
    <x:row r="36" ht="28" customHeight="1">
      <x:c r="A36" s="54" t="str">
        <x:v>DA-ENC-HSP-004-005</x:v>
      </x:c>
      <x:c r="B36" s="54" t="str">
        <x:v>ENC-HSP-004-005</x:v>
      </x:c>
      <x:c r="C36" s="54" t="str">
        <x:v>HSP-004-D05</x:v>
      </x:c>
      <x:c r="D36" s="64" t="n">
        <x:v>46267.41111111111</x:v>
      </x:c>
      <x:c r="E36" s="64"/>
      <x:c r="F36" s="54" t="str">
        <x:v>Initial demo assignment</x:v>
      </x:c>
      <x:c r="G36" s="55" t="b">
        <x:v>1</x:v>
      </x:c>
    </x:row>
    <x:row r="37" ht="28" customHeight="1">
      <x:c r="A37" s="54" t="str">
        <x:v>DA-ENC-HSP-004-006</x:v>
      </x:c>
      <x:c r="B37" s="54" t="str">
        <x:v>ENC-HSP-004-006</x:v>
      </x:c>
      <x:c r="C37" s="54" t="str">
        <x:v>HSP-004-D01</x:v>
      </x:c>
      <x:c r="D37" s="64" t="n">
        <x:v>46267.415972222225</x:v>
      </x:c>
      <x:c r="E37" s="64"/>
      <x:c r="F37" s="54" t="str">
        <x:v>Initial demo assignment</x:v>
      </x:c>
      <x:c r="G37" s="55" t="b">
        <x:v>1</x:v>
      </x:c>
    </x:row>
    <x:row r="38" ht="28" customHeight="1">
      <x:c r="A38" s="54" t="str">
        <x:v>DA-ENC-HSP-004-007</x:v>
      </x:c>
      <x:c r="B38" s="54" t="str">
        <x:v>ENC-HSP-004-007</x:v>
      </x:c>
      <x:c r="C38" s="54" t="str">
        <x:v>HSP-004-D02</x:v>
      </x:c>
      <x:c r="D38" s="64" t="n">
        <x:v>46267.42083333333</x:v>
      </x:c>
      <x:c r="E38" s="64"/>
      <x:c r="F38" s="54" t="str">
        <x:v>Initial demo assignment</x:v>
      </x:c>
      <x:c r="G38" s="55" t="b">
        <x:v>1</x:v>
      </x:c>
    </x:row>
    <x:row r="39" ht="28" customHeight="1">
      <x:c r="A39" s="54" t="str">
        <x:v>DA-ENC-HSP-004-008</x:v>
      </x:c>
      <x:c r="B39" s="54" t="str">
        <x:v>ENC-HSP-004-008</x:v>
      </x:c>
      <x:c r="C39" s="54" t="str">
        <x:v>HSP-004-D03</x:v>
      </x:c>
      <x:c r="D39" s="64" t="n">
        <x:v>46267.42569444444</x:v>
      </x:c>
      <x:c r="E39" s="64"/>
      <x:c r="F39" s="54" t="str">
        <x:v>Initial demo assignment</x:v>
      </x:c>
      <x:c r="G39" s="55" t="b">
        <x:v>1</x:v>
      </x:c>
    </x:row>
    <x:row r="40" ht="28" customHeight="1">
      <x:c r="A40" s="54" t="str">
        <x:v>DA-ENC-HSP-004-009</x:v>
      </x:c>
      <x:c r="B40" s="54" t="str">
        <x:v>ENC-HSP-004-009</x:v>
      </x:c>
      <x:c r="C40" s="54" t="str">
        <x:v>HSP-004-D04</x:v>
      </x:c>
      <x:c r="D40" s="64" t="n">
        <x:v>46267.430555555555</x:v>
      </x:c>
      <x:c r="E40" s="64"/>
      <x:c r="F40" s="54" t="str">
        <x:v>Initial demo assignment</x:v>
      </x:c>
      <x:c r="G40" s="55" t="b">
        <x:v>1</x:v>
      </x:c>
    </x:row>
    <x:row r="41" ht="28" customHeight="1">
      <x:c r="A41" s="56" t="str">
        <x:v>DA-ENC-HSP-004-010</x:v>
      </x:c>
      <x:c r="B41" s="56" t="str">
        <x:v>ENC-HSP-004-010</x:v>
      </x:c>
      <x:c r="C41" s="56" t="str">
        <x:v>HSP-004-D05</x:v>
      </x:c>
      <x:c r="D41" s="65" t="n">
        <x:v>46267.43541666667</x:v>
      </x:c>
      <x:c r="E41" s="65"/>
      <x:c r="F41" s="56" t="str">
        <x:v>Initial demo assignment</x:v>
      </x:c>
      <x:c r="G41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70158a84a314b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34" customHeight="1">
      <x:c r="A1" s="53" t="str">
        <x:v>nurse_assignment_id</x:v>
      </x:c>
      <x:c r="B1" s="53" t="str">
        <x:v>encounter_id</x:v>
      </x:c>
      <x:c r="C1" s="53" t="str">
        <x:v>nurse_staff_id</x:v>
      </x:c>
      <x:c r="D1" s="63" t="str">
        <x:v>assigned_at</x:v>
      </x:c>
      <x:c r="E1" s="53" t="str">
        <x:v>nursing_role</x:v>
      </x:c>
      <x:c r="F1" s="53" t="str">
        <x:v>is_active</x:v>
      </x:c>
    </x:row>
    <x:row r="2" ht="28" customHeight="1">
      <x:c r="A2" s="54" t="str">
        <x:v>NA-ENC-HSP-001-001</x:v>
      </x:c>
      <x:c r="B2" s="54" t="str">
        <x:v>ENC-HSP-001-001</x:v>
      </x:c>
      <x:c r="C2" s="54" t="str">
        <x:v>HSP-001-N01</x:v>
      </x:c>
      <x:c r="D2" s="64" t="n">
        <x:v>46267.34027777778</x:v>
      </x:c>
      <x:c r="E2" s="54" t="str">
        <x:v>TRIAGE_NURSE</x:v>
      </x:c>
      <x:c r="F2" s="55" t="b">
        <x:v>1</x:v>
      </x:c>
    </x:row>
    <x:row r="3" ht="28" customHeight="1">
      <x:c r="A3" s="54" t="str">
        <x:v>NA-ENC-HSP-001-002</x:v>
      </x:c>
      <x:c r="B3" s="54" t="str">
        <x:v>ENC-HSP-001-002</x:v>
      </x:c>
      <x:c r="C3" s="54" t="str">
        <x:v>HSP-001-N02</x:v>
      </x:c>
      <x:c r="D3" s="64" t="n">
        <x:v>46267.345138888886</x:v>
      </x:c>
      <x:c r="E3" s="54" t="str">
        <x:v>TRIAGE_NURSE</x:v>
      </x:c>
      <x:c r="F3" s="55" t="b">
        <x:v>1</x:v>
      </x:c>
    </x:row>
    <x:row r="4" ht="28" customHeight="1">
      <x:c r="A4" s="54" t="str">
        <x:v>NA-ENC-HSP-001-003</x:v>
      </x:c>
      <x:c r="B4" s="54" t="str">
        <x:v>ENC-HSP-001-003</x:v>
      </x:c>
      <x:c r="C4" s="54" t="str">
        <x:v>HSP-001-N03</x:v>
      </x:c>
      <x:c r="D4" s="64" t="n">
        <x:v>46267.35</x:v>
      </x:c>
      <x:c r="E4" s="54" t="str">
        <x:v>TRIAGE_NURSE</x:v>
      </x:c>
      <x:c r="F4" s="55" t="b">
        <x:v>1</x:v>
      </x:c>
    </x:row>
    <x:row r="5" ht="28" customHeight="1">
      <x:c r="A5" s="54" t="str">
        <x:v>NA-ENC-HSP-001-004</x:v>
      </x:c>
      <x:c r="B5" s="54" t="str">
        <x:v>ENC-HSP-001-004</x:v>
      </x:c>
      <x:c r="C5" s="54" t="str">
        <x:v>HSP-001-N01</x:v>
      </x:c>
      <x:c r="D5" s="64" t="n">
        <x:v>46267.396527777775</x:v>
      </x:c>
      <x:c r="E5" s="54" t="str">
        <x:v>TRIAGE_NURSE</x:v>
      </x:c>
      <x:c r="F5" s="55" t="b">
        <x:v>1</x:v>
      </x:c>
    </x:row>
    <x:row r="6" ht="28" customHeight="1">
      <x:c r="A6" s="54" t="str">
        <x:v>NA-ENC-HSP-001-005</x:v>
      </x:c>
      <x:c r="B6" s="54" t="str">
        <x:v>ENC-HSP-001-005</x:v>
      </x:c>
      <x:c r="C6" s="54" t="str">
        <x:v>HSP-001-N02</x:v>
      </x:c>
      <x:c r="D6" s="64" t="n">
        <x:v>46267.40138888889</x:v>
      </x:c>
      <x:c r="E6" s="54" t="str">
        <x:v>TRIAGE_NURSE</x:v>
      </x:c>
      <x:c r="F6" s="55" t="b">
        <x:v>1</x:v>
      </x:c>
    </x:row>
    <x:row r="7" ht="28" customHeight="1">
      <x:c r="A7" s="54" t="str">
        <x:v>NA-ENC-HSP-001-006</x:v>
      </x:c>
      <x:c r="B7" s="54" t="str">
        <x:v>ENC-HSP-001-006</x:v>
      </x:c>
      <x:c r="C7" s="54" t="str">
        <x:v>HSP-001-N03</x:v>
      </x:c>
      <x:c r="D7" s="64" t="n">
        <x:v>46267.40625</x:v>
      </x:c>
      <x:c r="E7" s="54" t="str">
        <x:v>TRIAGE_NURSE</x:v>
      </x:c>
      <x:c r="F7" s="55" t="b">
        <x:v>1</x:v>
      </x:c>
    </x:row>
    <x:row r="8" ht="28" customHeight="1">
      <x:c r="A8" s="54" t="str">
        <x:v>NA-ENC-HSP-001-007</x:v>
      </x:c>
      <x:c r="B8" s="54" t="str">
        <x:v>ENC-HSP-001-007</x:v>
      </x:c>
      <x:c r="C8" s="54" t="str">
        <x:v>HSP-001-N01</x:v>
      </x:c>
      <x:c r="D8" s="64" t="n">
        <x:v>46267.41111111111</x:v>
      </x:c>
      <x:c r="E8" s="54" t="str">
        <x:v>TRIAGE_NURSE</x:v>
      </x:c>
      <x:c r="F8" s="55" t="b">
        <x:v>1</x:v>
      </x:c>
    </x:row>
    <x:row r="9" ht="28" customHeight="1">
      <x:c r="A9" s="54" t="str">
        <x:v>NA-ENC-HSP-001-008</x:v>
      </x:c>
      <x:c r="B9" s="54" t="str">
        <x:v>ENC-HSP-001-008</x:v>
      </x:c>
      <x:c r="C9" s="54" t="str">
        <x:v>HSP-001-N02</x:v>
      </x:c>
      <x:c r="D9" s="64" t="n">
        <x:v>46267.45763888889</x:v>
      </x:c>
      <x:c r="E9" s="54" t="str">
        <x:v>TRIAGE_NURSE</x:v>
      </x:c>
      <x:c r="F9" s="55" t="b">
        <x:v>1</x:v>
      </x:c>
    </x:row>
    <x:row r="10" ht="28" customHeight="1">
      <x:c r="A10" s="54" t="str">
        <x:v>NA-ENC-HSP-001-009</x:v>
      </x:c>
      <x:c r="B10" s="54" t="str">
        <x:v>ENC-HSP-001-009</x:v>
      </x:c>
      <x:c r="C10" s="54" t="str">
        <x:v>HSP-001-N03</x:v>
      </x:c>
      <x:c r="D10" s="64" t="n">
        <x:v>46267.42083333333</x:v>
      </x:c>
      <x:c r="E10" s="54" t="str">
        <x:v>TRIAGE_NURSE</x:v>
      </x:c>
      <x:c r="F10" s="55" t="b">
        <x:v>1</x:v>
      </x:c>
    </x:row>
    <x:row r="11" ht="28" customHeight="1">
      <x:c r="A11" s="54" t="str">
        <x:v>NA-ENC-HSP-001-010</x:v>
      </x:c>
      <x:c r="B11" s="54" t="str">
        <x:v>ENC-HSP-001-010</x:v>
      </x:c>
      <x:c r="C11" s="54" t="str">
        <x:v>HSP-001-N01</x:v>
      </x:c>
      <x:c r="D11" s="64" t="n">
        <x:v>46267.42569444444</x:v>
      </x:c>
      <x:c r="E11" s="54" t="str">
        <x:v>TRIAGE_NURSE</x:v>
      </x:c>
      <x:c r="F11" s="55" t="b">
        <x:v>1</x:v>
      </x:c>
    </x:row>
    <x:row r="12" ht="28" customHeight="1">
      <x:c r="A12" s="54" t="str">
        <x:v>NA-ENC-HSP-002-001</x:v>
      </x:c>
      <x:c r="B12" s="54" t="str">
        <x:v>ENC-HSP-002-001</x:v>
      </x:c>
      <x:c r="C12" s="54" t="str">
        <x:v>HSP-002-N01</x:v>
      </x:c>
      <x:c r="D12" s="64" t="n">
        <x:v>46267.342361111114</x:v>
      </x:c>
      <x:c r="E12" s="54" t="str">
        <x:v>TRIAGE_NURSE</x:v>
      </x:c>
      <x:c r="F12" s="55" t="b">
        <x:v>1</x:v>
      </x:c>
    </x:row>
    <x:row r="13" ht="28" customHeight="1">
      <x:c r="A13" s="54" t="str">
        <x:v>NA-ENC-HSP-002-002</x:v>
      </x:c>
      <x:c r="B13" s="54" t="str">
        <x:v>ENC-HSP-002-002</x:v>
      </x:c>
      <x:c r="C13" s="54" t="str">
        <x:v>HSP-002-N02</x:v>
      </x:c>
      <x:c r="D13" s="64" t="n">
        <x:v>46267.34722222222</x:v>
      </x:c>
      <x:c r="E13" s="54" t="str">
        <x:v>TRIAGE_NURSE</x:v>
      </x:c>
      <x:c r="F13" s="55" t="b">
        <x:v>1</x:v>
      </x:c>
    </x:row>
    <x:row r="14" ht="28" customHeight="1">
      <x:c r="A14" s="54" t="str">
        <x:v>NA-ENC-HSP-002-003</x:v>
      </x:c>
      <x:c r="B14" s="54" t="str">
        <x:v>ENC-HSP-002-003</x:v>
      </x:c>
      <x:c r="C14" s="54" t="str">
        <x:v>HSP-002-N03</x:v>
      </x:c>
      <x:c r="D14" s="64" t="n">
        <x:v>46267.35208333333</x:v>
      </x:c>
      <x:c r="E14" s="54" t="str">
        <x:v>TRIAGE_NURSE</x:v>
      </x:c>
      <x:c r="F14" s="55" t="b">
        <x:v>1</x:v>
      </x:c>
    </x:row>
    <x:row r="15" ht="28" customHeight="1">
      <x:c r="A15" s="54" t="str">
        <x:v>NA-ENC-HSP-002-004</x:v>
      </x:c>
      <x:c r="B15" s="54" t="str">
        <x:v>ENC-HSP-002-004</x:v>
      </x:c>
      <x:c r="C15" s="54" t="str">
        <x:v>HSP-002-N01</x:v>
      </x:c>
      <x:c r="D15" s="64" t="n">
        <x:v>46267.39861111111</x:v>
      </x:c>
      <x:c r="E15" s="54" t="str">
        <x:v>TRIAGE_NURSE</x:v>
      </x:c>
      <x:c r="F15" s="55" t="b">
        <x:v>1</x:v>
      </x:c>
    </x:row>
    <x:row r="16" ht="28" customHeight="1">
      <x:c r="A16" s="54" t="str">
        <x:v>NA-ENC-HSP-002-005</x:v>
      </x:c>
      <x:c r="B16" s="54" t="str">
        <x:v>ENC-HSP-002-005</x:v>
      </x:c>
      <x:c r="C16" s="54" t="str">
        <x:v>HSP-002-N02</x:v>
      </x:c>
      <x:c r="D16" s="64" t="n">
        <x:v>46267.40347222222</x:v>
      </x:c>
      <x:c r="E16" s="54" t="str">
        <x:v>TRIAGE_NURSE</x:v>
      </x:c>
      <x:c r="F16" s="55" t="b">
        <x:v>1</x:v>
      </x:c>
    </x:row>
    <x:row r="17" ht="28" customHeight="1">
      <x:c r="A17" s="54" t="str">
        <x:v>NA-ENC-HSP-002-006</x:v>
      </x:c>
      <x:c r="B17" s="54" t="str">
        <x:v>ENC-HSP-002-006</x:v>
      </x:c>
      <x:c r="C17" s="54" t="str">
        <x:v>HSP-002-N03</x:v>
      </x:c>
      <x:c r="D17" s="64" t="n">
        <x:v>46267.40833333333</x:v>
      </x:c>
      <x:c r="E17" s="54" t="str">
        <x:v>TRIAGE_NURSE</x:v>
      </x:c>
      <x:c r="F17" s="55" t="b">
        <x:v>1</x:v>
      </x:c>
    </x:row>
    <x:row r="18" ht="28" customHeight="1">
      <x:c r="A18" s="54" t="str">
        <x:v>NA-ENC-HSP-002-007</x:v>
      </x:c>
      <x:c r="B18" s="54" t="str">
        <x:v>ENC-HSP-002-007</x:v>
      </x:c>
      <x:c r="C18" s="54" t="str">
        <x:v>HSP-002-N01</x:v>
      </x:c>
      <x:c r="D18" s="64" t="n">
        <x:v>46267.413194444445</x:v>
      </x:c>
      <x:c r="E18" s="54" t="str">
        <x:v>TRIAGE_NURSE</x:v>
      </x:c>
      <x:c r="F18" s="55" t="b">
        <x:v>1</x:v>
      </x:c>
    </x:row>
    <x:row r="19" ht="28" customHeight="1">
      <x:c r="A19" s="54" t="str">
        <x:v>NA-ENC-HSP-002-008</x:v>
      </x:c>
      <x:c r="B19" s="54" t="str">
        <x:v>ENC-HSP-002-008</x:v>
      </x:c>
      <x:c r="C19" s="54" t="str">
        <x:v>HSP-002-N02</x:v>
      </x:c>
      <x:c r="D19" s="64" t="n">
        <x:v>46267.45972222222</x:v>
      </x:c>
      <x:c r="E19" s="54" t="str">
        <x:v>TRIAGE_NURSE</x:v>
      </x:c>
      <x:c r="F19" s="55" t="b">
        <x:v>1</x:v>
      </x:c>
    </x:row>
    <x:row r="20" ht="28" customHeight="1">
      <x:c r="A20" s="54" t="str">
        <x:v>NA-ENC-HSP-002-009</x:v>
      </x:c>
      <x:c r="B20" s="54" t="str">
        <x:v>ENC-HSP-002-009</x:v>
      </x:c>
      <x:c r="C20" s="54" t="str">
        <x:v>HSP-002-N03</x:v>
      </x:c>
      <x:c r="D20" s="64" t="n">
        <x:v>46267.42291666667</x:v>
      </x:c>
      <x:c r="E20" s="54" t="str">
        <x:v>TRIAGE_NURSE</x:v>
      </x:c>
      <x:c r="F20" s="55" t="b">
        <x:v>1</x:v>
      </x:c>
    </x:row>
    <x:row r="21" ht="28" customHeight="1">
      <x:c r="A21" s="54" t="str">
        <x:v>NA-ENC-HSP-002-010</x:v>
      </x:c>
      <x:c r="B21" s="54" t="str">
        <x:v>ENC-HSP-002-010</x:v>
      </x:c>
      <x:c r="C21" s="54" t="str">
        <x:v>HSP-002-N01</x:v>
      </x:c>
      <x:c r="D21" s="64" t="n">
        <x:v>46267.427777777775</x:v>
      </x:c>
      <x:c r="E21" s="54" t="str">
        <x:v>TRIAGE_NURSE</x:v>
      </x:c>
      <x:c r="F21" s="55" t="b">
        <x:v>1</x:v>
      </x:c>
    </x:row>
    <x:row r="22" ht="28" customHeight="1">
      <x:c r="A22" s="54" t="str">
        <x:v>NA-ENC-HSP-003-001</x:v>
      </x:c>
      <x:c r="B22" s="54" t="str">
        <x:v>ENC-HSP-003-001</x:v>
      </x:c>
      <x:c r="C22" s="54" t="str">
        <x:v>HSP-003-N01</x:v>
      </x:c>
      <x:c r="D22" s="64" t="n">
        <x:v>46267.34444444445</x:v>
      </x:c>
      <x:c r="E22" s="54" t="str">
        <x:v>TRIAGE_NURSE</x:v>
      </x:c>
      <x:c r="F22" s="55" t="b">
        <x:v>1</x:v>
      </x:c>
    </x:row>
    <x:row r="23" ht="28" customHeight="1">
      <x:c r="A23" s="54" t="str">
        <x:v>NA-ENC-HSP-003-002</x:v>
      </x:c>
      <x:c r="B23" s="54" t="str">
        <x:v>ENC-HSP-003-002</x:v>
      </x:c>
      <x:c r="C23" s="54" t="str">
        <x:v>HSP-003-N02</x:v>
      </x:c>
      <x:c r="D23" s="64" t="n">
        <x:v>46267.34930555556</x:v>
      </x:c>
      <x:c r="E23" s="54" t="str">
        <x:v>TRIAGE_NURSE</x:v>
      </x:c>
      <x:c r="F23" s="55" t="b">
        <x:v>1</x:v>
      </x:c>
    </x:row>
    <x:row r="24" ht="28" customHeight="1">
      <x:c r="A24" s="54" t="str">
        <x:v>NA-ENC-HSP-003-003</x:v>
      </x:c>
      <x:c r="B24" s="54" t="str">
        <x:v>ENC-HSP-003-003</x:v>
      </x:c>
      <x:c r="C24" s="54" t="str">
        <x:v>HSP-003-N03</x:v>
      </x:c>
      <x:c r="D24" s="64" t="n">
        <x:v>46267.354166666664</x:v>
      </x:c>
      <x:c r="E24" s="54" t="str">
        <x:v>TRIAGE_NURSE</x:v>
      </x:c>
      <x:c r="F24" s="55" t="b">
        <x:v>1</x:v>
      </x:c>
    </x:row>
    <x:row r="25" ht="28" customHeight="1">
      <x:c r="A25" s="54" t="str">
        <x:v>NA-ENC-HSP-003-004</x:v>
      </x:c>
      <x:c r="B25" s="54" t="str">
        <x:v>ENC-HSP-003-004</x:v>
      </x:c>
      <x:c r="C25" s="54" t="str">
        <x:v>HSP-003-N01</x:v>
      </x:c>
      <x:c r="D25" s="64" t="n">
        <x:v>46267.40069444444</x:v>
      </x:c>
      <x:c r="E25" s="54" t="str">
        <x:v>TRIAGE_NURSE</x:v>
      </x:c>
      <x:c r="F25" s="55" t="b">
        <x:v>1</x:v>
      </x:c>
    </x:row>
    <x:row r="26" ht="28" customHeight="1">
      <x:c r="A26" s="54" t="str">
        <x:v>NA-ENC-HSP-003-005</x:v>
      </x:c>
      <x:c r="B26" s="54" t="str">
        <x:v>ENC-HSP-003-005</x:v>
      </x:c>
      <x:c r="C26" s="54" t="str">
        <x:v>HSP-003-N02</x:v>
      </x:c>
      <x:c r="D26" s="64" t="n">
        <x:v>46267.40555555555</x:v>
      </x:c>
      <x:c r="E26" s="54" t="str">
        <x:v>TRIAGE_NURSE</x:v>
      </x:c>
      <x:c r="F26" s="55" t="b">
        <x:v>1</x:v>
      </x:c>
    </x:row>
    <x:row r="27" ht="28" customHeight="1">
      <x:c r="A27" s="54" t="str">
        <x:v>NA-ENC-HSP-003-006</x:v>
      </x:c>
      <x:c r="B27" s="54" t="str">
        <x:v>ENC-HSP-003-006</x:v>
      </x:c>
      <x:c r="C27" s="54" t="str">
        <x:v>HSP-003-N03</x:v>
      </x:c>
      <x:c r="D27" s="64" t="n">
        <x:v>46267.410416666666</x:v>
      </x:c>
      <x:c r="E27" s="54" t="str">
        <x:v>TRIAGE_NURSE</x:v>
      </x:c>
      <x:c r="F27" s="55" t="b">
        <x:v>1</x:v>
      </x:c>
    </x:row>
    <x:row r="28" ht="28" customHeight="1">
      <x:c r="A28" s="54" t="str">
        <x:v>NA-ENC-HSP-003-007</x:v>
      </x:c>
      <x:c r="B28" s="54" t="str">
        <x:v>ENC-HSP-003-007</x:v>
      </x:c>
      <x:c r="C28" s="54" t="str">
        <x:v>HSP-003-N01</x:v>
      </x:c>
      <x:c r="D28" s="64" t="n">
        <x:v>46267.41527777778</x:v>
      </x:c>
      <x:c r="E28" s="54" t="str">
        <x:v>TRIAGE_NURSE</x:v>
      </x:c>
      <x:c r="F28" s="55" t="b">
        <x:v>1</x:v>
      </x:c>
    </x:row>
    <x:row r="29" ht="28" customHeight="1">
      <x:c r="A29" s="54" t="str">
        <x:v>NA-ENC-HSP-003-008</x:v>
      </x:c>
      <x:c r="B29" s="54" t="str">
        <x:v>ENC-HSP-003-008</x:v>
      </x:c>
      <x:c r="C29" s="54" t="str">
        <x:v>HSP-003-N02</x:v>
      </x:c>
      <x:c r="D29" s="64" t="n">
        <x:v>46267.42013888889</x:v>
      </x:c>
      <x:c r="E29" s="54" t="str">
        <x:v>TRIAGE_NURSE</x:v>
      </x:c>
      <x:c r="F29" s="55" t="b">
        <x:v>1</x:v>
      </x:c>
    </x:row>
    <x:row r="30" ht="28" customHeight="1">
      <x:c r="A30" s="54" t="str">
        <x:v>NA-ENC-HSP-003-009</x:v>
      </x:c>
      <x:c r="B30" s="54" t="str">
        <x:v>ENC-HSP-003-009</x:v>
      </x:c>
      <x:c r="C30" s="54" t="str">
        <x:v>HSP-003-N03</x:v>
      </x:c>
      <x:c r="D30" s="64" t="n">
        <x:v>46267.425</x:v>
      </x:c>
      <x:c r="E30" s="54" t="str">
        <x:v>TRIAGE_NURSE</x:v>
      </x:c>
      <x:c r="F30" s="55" t="b">
        <x:v>1</x:v>
      </x:c>
    </x:row>
    <x:row r="31" ht="28" customHeight="1">
      <x:c r="A31" s="54" t="str">
        <x:v>NA-ENC-HSP-003-010</x:v>
      </x:c>
      <x:c r="B31" s="54" t="str">
        <x:v>ENC-HSP-003-010</x:v>
      </x:c>
      <x:c r="C31" s="54" t="str">
        <x:v>HSP-003-N01</x:v>
      </x:c>
      <x:c r="D31" s="64" t="n">
        <x:v>46267.42986111111</x:v>
      </x:c>
      <x:c r="E31" s="54" t="str">
        <x:v>TRIAGE_NURSE</x:v>
      </x:c>
      <x:c r="F31" s="55" t="b">
        <x:v>1</x:v>
      </x:c>
    </x:row>
    <x:row r="32" ht="28" customHeight="1">
      <x:c r="A32" s="54" t="str">
        <x:v>NA-ENC-HSP-004-001</x:v>
      </x:c>
      <x:c r="B32" s="54" t="str">
        <x:v>ENC-HSP-004-001</x:v>
      </x:c>
      <x:c r="C32" s="54" t="str">
        <x:v>HSP-004-N01</x:v>
      </x:c>
      <x:c r="D32" s="64" t="n">
        <x:v>46267.34652777778</x:v>
      </x:c>
      <x:c r="E32" s="54" t="str">
        <x:v>TRIAGE_NURSE</x:v>
      </x:c>
      <x:c r="F32" s="55" t="b">
        <x:v>1</x:v>
      </x:c>
    </x:row>
    <x:row r="33" ht="28" customHeight="1">
      <x:c r="A33" s="54" t="str">
        <x:v>NA-ENC-HSP-004-002</x:v>
      </x:c>
      <x:c r="B33" s="54" t="str">
        <x:v>ENC-HSP-004-002</x:v>
      </x:c>
      <x:c r="C33" s="54" t="str">
        <x:v>HSP-004-N02</x:v>
      </x:c>
      <x:c r="D33" s="64" t="n">
        <x:v>46267.35138888889</x:v>
      </x:c>
      <x:c r="E33" s="54" t="str">
        <x:v>TRIAGE_NURSE</x:v>
      </x:c>
      <x:c r="F33" s="55" t="b">
        <x:v>1</x:v>
      </x:c>
    </x:row>
    <x:row r="34" ht="28" customHeight="1">
      <x:c r="A34" s="54" t="str">
        <x:v>NA-ENC-HSP-004-003</x:v>
      </x:c>
      <x:c r="B34" s="54" t="str">
        <x:v>ENC-HSP-004-003</x:v>
      </x:c>
      <x:c r="C34" s="54" t="str">
        <x:v>HSP-004-N03</x:v>
      </x:c>
      <x:c r="D34" s="64" t="n">
        <x:v>46267.35625</x:v>
      </x:c>
      <x:c r="E34" s="54" t="str">
        <x:v>TRIAGE_NURSE</x:v>
      </x:c>
      <x:c r="F34" s="55" t="b">
        <x:v>1</x:v>
      </x:c>
    </x:row>
    <x:row r="35" ht="28" customHeight="1">
      <x:c r="A35" s="54" t="str">
        <x:v>NA-ENC-HSP-004-004</x:v>
      </x:c>
      <x:c r="B35" s="54" t="str">
        <x:v>ENC-HSP-004-004</x:v>
      </x:c>
      <x:c r="C35" s="54" t="str">
        <x:v>HSP-004-N01</x:v>
      </x:c>
      <x:c r="D35" s="64" t="n">
        <x:v>46267.40277777778</x:v>
      </x:c>
      <x:c r="E35" s="54" t="str">
        <x:v>TRIAGE_NURSE</x:v>
      </x:c>
      <x:c r="F35" s="55" t="b">
        <x:v>1</x:v>
      </x:c>
    </x:row>
    <x:row r="36" ht="28" customHeight="1">
      <x:c r="A36" s="54" t="str">
        <x:v>NA-ENC-HSP-004-005</x:v>
      </x:c>
      <x:c r="B36" s="54" t="str">
        <x:v>ENC-HSP-004-005</x:v>
      </x:c>
      <x:c r="C36" s="54" t="str">
        <x:v>HSP-004-N02</x:v>
      </x:c>
      <x:c r="D36" s="64" t="n">
        <x:v>46267.407638888886</x:v>
      </x:c>
      <x:c r="E36" s="54" t="str">
        <x:v>TRIAGE_NURSE</x:v>
      </x:c>
      <x:c r="F36" s="55" t="b">
        <x:v>1</x:v>
      </x:c>
    </x:row>
    <x:row r="37" ht="28" customHeight="1">
      <x:c r="A37" s="54" t="str">
        <x:v>NA-ENC-HSP-004-006</x:v>
      </x:c>
      <x:c r="B37" s="54" t="str">
        <x:v>ENC-HSP-004-006</x:v>
      </x:c>
      <x:c r="C37" s="54" t="str">
        <x:v>HSP-004-N03</x:v>
      </x:c>
      <x:c r="D37" s="64" t="n">
        <x:v>46267.4125</x:v>
      </x:c>
      <x:c r="E37" s="54" t="str">
        <x:v>TRIAGE_NURSE</x:v>
      </x:c>
      <x:c r="F37" s="55" t="b">
        <x:v>1</x:v>
      </x:c>
    </x:row>
    <x:row r="38" ht="28" customHeight="1">
      <x:c r="A38" s="54" t="str">
        <x:v>NA-ENC-HSP-004-007</x:v>
      </x:c>
      <x:c r="B38" s="54" t="str">
        <x:v>ENC-HSP-004-007</x:v>
      </x:c>
      <x:c r="C38" s="54" t="str">
        <x:v>HSP-004-N01</x:v>
      </x:c>
      <x:c r="D38" s="64" t="n">
        <x:v>46267.41736111111</x:v>
      </x:c>
      <x:c r="E38" s="54" t="str">
        <x:v>TRIAGE_NURSE</x:v>
      </x:c>
      <x:c r="F38" s="55" t="b">
        <x:v>1</x:v>
      </x:c>
    </x:row>
    <x:row r="39" ht="28" customHeight="1">
      <x:c r="A39" s="54" t="str">
        <x:v>NA-ENC-HSP-004-008</x:v>
      </x:c>
      <x:c r="B39" s="54" t="str">
        <x:v>ENC-HSP-004-008</x:v>
      </x:c>
      <x:c r="C39" s="54" t="str">
        <x:v>HSP-004-N02</x:v>
      </x:c>
      <x:c r="D39" s="64" t="n">
        <x:v>46267.42222222222</x:v>
      </x:c>
      <x:c r="E39" s="54" t="str">
        <x:v>TRIAGE_NURSE</x:v>
      </x:c>
      <x:c r="F39" s="55" t="b">
        <x:v>1</x:v>
      </x:c>
    </x:row>
    <x:row r="40" ht="28" customHeight="1">
      <x:c r="A40" s="54" t="str">
        <x:v>NA-ENC-HSP-004-009</x:v>
      </x:c>
      <x:c r="B40" s="54" t="str">
        <x:v>ENC-HSP-004-009</x:v>
      </x:c>
      <x:c r="C40" s="54" t="str">
        <x:v>HSP-004-N03</x:v>
      </x:c>
      <x:c r="D40" s="64" t="n">
        <x:v>46267.427083333336</x:v>
      </x:c>
      <x:c r="E40" s="54" t="str">
        <x:v>TRIAGE_NURSE</x:v>
      </x:c>
      <x:c r="F40" s="55" t="b">
        <x:v>1</x:v>
      </x:c>
    </x:row>
    <x:row r="41" ht="28" customHeight="1">
      <x:c r="A41" s="56" t="str">
        <x:v>NA-ENC-HSP-004-010</x:v>
      </x:c>
      <x:c r="B41" s="56" t="str">
        <x:v>ENC-HSP-004-010</x:v>
      </x:c>
      <x:c r="C41" s="56" t="str">
        <x:v>HSP-004-N01</x:v>
      </x:c>
      <x:c r="D41" s="65" t="n">
        <x:v>46267.43194444444</x:v>
      </x:c>
      <x:c r="E41" s="56" t="str">
        <x:v>TRIAGE_NURSE</x:v>
      </x:c>
      <x:c r="F41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8ede228eea6453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8" hidden="0" customWidth="1"/>
    <x:col min="16" max="16" width="18" hidden="0" customWidth="1"/>
  </x:cols>
  <x:sheetData>
    <x:row r="1" ht="34" customHeight="1">
      <x:c r="A1" s="53" t="str">
        <x:v>vital_observation_id</x:v>
      </x:c>
      <x:c r="B1" s="53" t="str">
        <x:v>encounter_id</x:v>
      </x:c>
      <x:c r="C1" s="53" t="str">
        <x:v>observation_number</x:v>
      </x:c>
      <x:c r="D1" s="63" t="str">
        <x:v>observed_at</x:v>
      </x:c>
      <x:c r="E1" s="53" t="str">
        <x:v>recorded_by_staff_id</x:v>
      </x:c>
      <x:c r="F1" s="53" t="str">
        <x:v>source</x:v>
      </x:c>
      <x:c r="G1" s="53" t="str">
        <x:v>heart_rate_bpm</x:v>
      </x:c>
      <x:c r="H1" s="53" t="str">
        <x:v>systolic_bp_mmhg</x:v>
      </x:c>
      <x:c r="I1" s="53" t="str">
        <x:v>diastolic_bp_mmhg</x:v>
      </x:c>
      <x:c r="J1" s="53" t="str">
        <x:v>respiratory_rate_per_min</x:v>
      </x:c>
      <x:c r="K1" s="53" t="str">
        <x:v>spo2_percent</x:v>
      </x:c>
      <x:c r="L1" s="53" t="str">
        <x:v>temperature_c</x:v>
      </x:c>
      <x:c r="M1" s="53" t="str">
        <x:v>gcs_total</x:v>
      </x:c>
      <x:c r="N1" s="53" t="str">
        <x:v>pain_score_0_10</x:v>
      </x:c>
      <x:c r="O1" s="53" t="str">
        <x:v>quality_notes</x:v>
      </x:c>
      <x:c r="P1" s="53" t="str">
        <x:v>is_synthetic</x:v>
      </x:c>
    </x:row>
    <x:row r="2" ht="36" customHeight="1">
      <x:c r="A2" s="54" t="str">
        <x:v>VIT-ENC-HSP-001-001-01</x:v>
      </x:c>
      <x:c r="B2" s="54" t="str">
        <x:v>ENC-HSP-001-001</x:v>
      </x:c>
      <x:c r="C2" s="54" t="n">
        <x:v>1</x:v>
      </x:c>
      <x:c r="D2" s="64" t="n">
        <x:v>46267.34166666667</x:v>
      </x:c>
      <x:c r="E2" s="54" t="str">
        <x:v>HSP-001-N01</x:v>
      </x:c>
      <x:c r="F2" s="54" t="str">
        <x:v>DEMO</x:v>
      </x:c>
      <x:c r="G2" s="54" t="n">
        <x:v>130</x:v>
      </x:c>
      <x:c r="H2" s="54" t="n">
        <x:v>79</x:v>
      </x:c>
      <x:c r="I2" s="54" t="n">
        <x:v>49</x:v>
      </x:c>
      <x:c r="J2" s="54" t="n">
        <x:v>31</x:v>
      </x:c>
      <x:c r="K2" s="54" t="n">
        <x:v>86</x:v>
      </x:c>
      <x:c r="L2" s="54" t="n">
        <x:v>37.4</x:v>
      </x:c>
      <x:c r="M2" s="54" t="n">
        <x:v>10</x:v>
      </x:c>
      <x:c r="N2" s="54" t="n">
        <x:v>8</x:v>
      </x:c>
      <x:c r="O2" s="61" t="str">
        <x:v>Initial demo observation</x:v>
      </x:c>
      <x:c r="P2" s="55" t="b">
        <x:v>1</x:v>
      </x:c>
    </x:row>
    <x:row r="3" ht="36" customHeight="1">
      <x:c r="A3" s="54" t="str">
        <x:v>VIT-ENC-HSP-001-002-01</x:v>
      </x:c>
      <x:c r="B3" s="54" t="str">
        <x:v>ENC-HSP-001-002</x:v>
      </x:c>
      <x:c r="C3" s="54" t="n">
        <x:v>1</x:v>
      </x:c>
      <x:c r="D3" s="64" t="n">
        <x:v>46267.34652777778</x:v>
      </x:c>
      <x:c r="E3" s="54" t="str">
        <x:v>HSP-001-N02</x:v>
      </x:c>
      <x:c r="F3" s="54" t="str">
        <x:v>DEMO</x:v>
      </x:c>
      <x:c r="G3" s="54" t="n">
        <x:v>131</x:v>
      </x:c>
      <x:c r="H3" s="54" t="n">
        <x:v>80</x:v>
      </x:c>
      <x:c r="I3" s="54" t="n">
        <x:v>50</x:v>
      </x:c>
      <x:c r="J3" s="54" t="n">
        <x:v>31</x:v>
      </x:c>
      <x:c r="K3" s="54" t="n">
        <x:v>86</x:v>
      </x:c>
      <x:c r="L3" s="54" t="n">
        <x:v>37.4</x:v>
      </x:c>
      <x:c r="M3" s="54" t="n">
        <x:v>10</x:v>
      </x:c>
      <x:c r="N3" s="54" t="n">
        <x:v>8</x:v>
      </x:c>
      <x:c r="O3" s="61" t="str">
        <x:v>Initial demo observation</x:v>
      </x:c>
      <x:c r="P3" s="55" t="b">
        <x:v>1</x:v>
      </x:c>
    </x:row>
    <x:row r="4" ht="36" customHeight="1">
      <x:c r="A4" s="54" t="str">
        <x:v>VIT-ENC-HSP-001-003-01</x:v>
      </x:c>
      <x:c r="B4" s="54" t="str">
        <x:v>ENC-HSP-001-003</x:v>
      </x:c>
      <x:c r="C4" s="54" t="n">
        <x:v>1</x:v>
      </x:c>
      <x:c r="D4" s="64" t="n">
        <x:v>46267.35138888889</x:v>
      </x:c>
      <x:c r="E4" s="54" t="str">
        <x:v>HSP-001-N03</x:v>
      </x:c>
      <x:c r="F4" s="54" t="str">
        <x:v>DEMO</x:v>
      </x:c>
      <x:c r="G4" s="54" t="n">
        <x:v>132</x:v>
      </x:c>
      <x:c r="H4" s="54" t="n">
        <x:v>81</x:v>
      </x:c>
      <x:c r="I4" s="54" t="n">
        <x:v>51</x:v>
      </x:c>
      <x:c r="J4" s="54" t="n">
        <x:v>31</x:v>
      </x:c>
      <x:c r="K4" s="54" t="n">
        <x:v>86</x:v>
      </x:c>
      <x:c r="L4" s="54" t="n">
        <x:v>37.4</x:v>
      </x:c>
      <x:c r="M4" s="54" t="n">
        <x:v>10</x:v>
      </x:c>
      <x:c r="N4" s="54" t="n">
        <x:v>8</x:v>
      </x:c>
      <x:c r="O4" s="61" t="str">
        <x:v>Initial demo observation</x:v>
      </x:c>
      <x:c r="P4" s="55" t="b">
        <x:v>1</x:v>
      </x:c>
    </x:row>
    <x:row r="5" ht="36" customHeight="1">
      <x:c r="A5" s="54" t="str">
        <x:v>VIT-ENC-HSP-001-004-01</x:v>
      </x:c>
      <x:c r="B5" s="54" t="str">
        <x:v>ENC-HSP-001-004</x:v>
      </x:c>
      <x:c r="C5" s="54" t="n">
        <x:v>1</x:v>
      </x:c>
      <x:c r="D5" s="64" t="n">
        <x:v>46267.39791666667</x:v>
      </x:c>
      <x:c r="E5" s="54" t="str">
        <x:v>HSP-001-N01</x:v>
      </x:c>
      <x:c r="F5" s="54" t="str">
        <x:v>DEMO</x:v>
      </x:c>
      <x:c r="G5" s="54" t="n">
        <x:v>133</x:v>
      </x:c>
      <x:c r="H5" s="54" t="n">
        <x:v>82</x:v>
      </x:c>
      <x:c r="I5" s="54" t="n">
        <x:v>49</x:v>
      </x:c>
      <x:c r="J5" s="54" t="n">
        <x:v>31</x:v>
      </x:c>
      <x:c r="K5" s="54" t="n">
        <x:v>86</x:v>
      </x:c>
      <x:c r="L5" s="54" t="n">
        <x:v>37.4</x:v>
      </x:c>
      <x:c r="M5" s="54" t="n">
        <x:v>10</x:v>
      </x:c>
      <x:c r="N5" s="54" t="n">
        <x:v>8</x:v>
      </x:c>
      <x:c r="O5" s="61" t="str">
        <x:v>Initial demo observation</x:v>
      </x:c>
      <x:c r="P5" s="55" t="b">
        <x:v>1</x:v>
      </x:c>
    </x:row>
    <x:row r="6" ht="36" customHeight="1">
      <x:c r="A6" s="54" t="str">
        <x:v>VIT-ENC-HSP-001-005-01</x:v>
      </x:c>
      <x:c r="B6" s="54" t="str">
        <x:v>ENC-HSP-001-005</x:v>
      </x:c>
      <x:c r="C6" s="54" t="n">
        <x:v>1</x:v>
      </x:c>
      <x:c r="D6" s="64" t="n">
        <x:v>46267.40277777778</x:v>
      </x:c>
      <x:c r="E6" s="54" t="str">
        <x:v>HSP-001-N02</x:v>
      </x:c>
      <x:c r="F6" s="54" t="str">
        <x:v>DEMO</x:v>
      </x:c>
      <x:c r="G6" s="54" t="n">
        <x:v>114</x:v>
      </x:c>
      <x:c r="H6" s="54" t="n">
        <x:v>103</x:v>
      </x:c>
      <x:c r="I6" s="54" t="n">
        <x:v>66</x:v>
      </x:c>
      <x:c r="J6" s="54" t="n">
        <x:v>24</x:v>
      </x:c>
      <x:c r="K6" s="54" t="n">
        <x:v>93</x:v>
      </x:c>
      <x:c r="L6" s="54" t="n">
        <x:v>38.3</x:v>
      </x:c>
      <x:c r="M6" s="54" t="n">
        <x:v>14</x:v>
      </x:c>
      <x:c r="N6" s="54" t="n">
        <x:v>7</x:v>
      </x:c>
      <x:c r="O6" s="61" t="str">
        <x:v>Initial demo observation</x:v>
      </x:c>
      <x:c r="P6" s="55" t="b">
        <x:v>1</x:v>
      </x:c>
    </x:row>
    <x:row r="7" ht="36" customHeight="1">
      <x:c r="A7" s="54" t="str">
        <x:v>VIT-ENC-HSP-001-006-01</x:v>
      </x:c>
      <x:c r="B7" s="54" t="str">
        <x:v>ENC-HSP-001-006</x:v>
      </x:c>
      <x:c r="C7" s="54" t="n">
        <x:v>1</x:v>
      </x:c>
      <x:c r="D7" s="64" t="n">
        <x:v>46267.407638888886</x:v>
      </x:c>
      <x:c r="E7" s="54" t="str">
        <x:v>HSP-001-N03</x:v>
      </x:c>
      <x:c r="F7" s="54" t="str">
        <x:v>DEMO</x:v>
      </x:c>
      <x:c r="G7" s="54" t="n">
        <x:v>110</x:v>
      </x:c>
      <x:c r="H7" s="54" t="n">
        <x:v>104</x:v>
      </x:c>
      <x:c r="I7" s="54" t="n">
        <x:v>67</x:v>
      </x:c>
      <x:c r="J7" s="54" t="n">
        <x:v>24</x:v>
      </x:c>
      <x:c r="K7" s="54" t="n">
        <x:v>93</x:v>
      </x:c>
      <x:c r="L7" s="54" t="n">
        <x:v>38.3</x:v>
      </x:c>
      <x:c r="M7" s="54" t="n">
        <x:v>14</x:v>
      </x:c>
      <x:c r="N7" s="54" t="n">
        <x:v>7</x:v>
      </x:c>
      <x:c r="O7" s="61" t="str">
        <x:v>Initial demo observation</x:v>
      </x:c>
      <x:c r="P7" s="55" t="b">
        <x:v>1</x:v>
      </x:c>
    </x:row>
    <x:row r="8" ht="36" customHeight="1">
      <x:c r="A8" s="54" t="str">
        <x:v>VIT-ENC-HSP-001-007-01</x:v>
      </x:c>
      <x:c r="B8" s="54" t="str">
        <x:v>ENC-HSP-001-007</x:v>
      </x:c>
      <x:c r="C8" s="54" t="n">
        <x:v>1</x:v>
      </x:c>
      <x:c r="D8" s="64" t="n">
        <x:v>46267.4125</x:v>
      </x:c>
      <x:c r="E8" s="54" t="str">
        <x:v>HSP-001-N01</x:v>
      </x:c>
      <x:c r="F8" s="54" t="str">
        <x:v>DEMO</x:v>
      </x:c>
      <x:c r="G8" s="54" t="n">
        <x:v>111</x:v>
      </x:c>
      <x:c r="H8" s="54" t="n">
        <x:v>105</x:v>
      </x:c>
      <x:c r="I8" s="54" t="n">
        <x:v>65</x:v>
      </x:c>
      <x:c r="J8" s="54" t="n">
        <x:v>24</x:v>
      </x:c>
      <x:c r="K8" s="54" t="n">
        <x:v>93</x:v>
      </x:c>
      <x:c r="L8" s="54" t="n">
        <x:v>38.3</x:v>
      </x:c>
      <x:c r="M8" s="54" t="n">
        <x:v>14</x:v>
      </x:c>
      <x:c r="N8" s="54" t="n">
        <x:v>7</x:v>
      </x:c>
      <x:c r="O8" s="61" t="str">
        <x:v>Initial demo observation</x:v>
      </x:c>
      <x:c r="P8" s="55" t="b">
        <x:v>1</x:v>
      </x:c>
    </x:row>
    <x:row r="9" ht="36" customHeight="1">
      <x:c r="A9" s="54" t="str">
        <x:v>VIT-ENC-HSP-001-008-01</x:v>
      </x:c>
      <x:c r="B9" s="54" t="str">
        <x:v>ENC-HSP-001-008</x:v>
      </x:c>
      <x:c r="C9" s="54" t="n">
        <x:v>1</x:v>
      </x:c>
      <x:c r="D9" s="64" t="n">
        <x:v>46267.459027777775</x:v>
      </x:c>
      <x:c r="E9" s="54" t="str">
        <x:v>HSP-001-N02</x:v>
      </x:c>
      <x:c r="F9" s="54" t="str">
        <x:v>DEMO</x:v>
      </x:c>
      <x:c r="G9" s="54" t="n">
        <x:v>112</x:v>
      </x:c>
      <x:c r="H9" s="54" t="n">
        <x:v>99</x:v>
      </x:c>
      <x:c r="I9" s="54" t="n">
        <x:v>66</x:v>
      </x:c>
      <x:c r="J9" s="54" t="n">
        <x:v>24</x:v>
      </x:c>
      <x:c r="K9" s="54" t="n">
        <x:v>93</x:v>
      </x:c>
      <x:c r="L9" s="54" t="n">
        <x:v>38.3</x:v>
      </x:c>
      <x:c r="M9" s="54" t="n">
        <x:v>14</x:v>
      </x:c>
      <x:c r="N9" s="54" t="n">
        <x:v>7</x:v>
      </x:c>
      <x:c r="O9" s="61" t="str">
        <x:v>Initial demo observation</x:v>
      </x:c>
      <x:c r="P9" s="55" t="b">
        <x:v>1</x:v>
      </x:c>
    </x:row>
    <x:row r="10" ht="36" customHeight="1">
      <x:c r="A10" s="54" t="str">
        <x:v>VIT-ENC-HSP-001-009-01</x:v>
      </x:c>
      <x:c r="B10" s="54" t="str">
        <x:v>ENC-HSP-001-009</x:v>
      </x:c>
      <x:c r="C10" s="54" t="n">
        <x:v>1</x:v>
      </x:c>
      <x:c r="D10" s="64" t="n">
        <x:v>46267.42222222222</x:v>
      </x:c>
      <x:c r="E10" s="54" t="str">
        <x:v>HSP-001-N03</x:v>
      </x:c>
      <x:c r="F10" s="54" t="str">
        <x:v>DEMO</x:v>
      </x:c>
      <x:c r="G10" s="54" t="n">
        <x:v>113</x:v>
      </x:c>
      <x:c r="H10" s="54" t="n">
        <x:v>100</x:v>
      </x:c>
      <x:c r="I10" s="54" t="n">
        <x:v>67</x:v>
      </x:c>
      <x:c r="J10" s="54" t="n">
        <x:v>24</x:v>
      </x:c>
      <x:c r="K10" s="54" t="n">
        <x:v>93</x:v>
      </x:c>
      <x:c r="L10" s="54" t="n">
        <x:v>38.3</x:v>
      </x:c>
      <x:c r="M10" s="54" t="n">
        <x:v>14</x:v>
      </x:c>
      <x:c r="N10" s="54" t="n">
        <x:v>7</x:v>
      </x:c>
      <x:c r="O10" s="61" t="str">
        <x:v>Initial demo observation</x:v>
      </x:c>
      <x:c r="P10" s="55" t="b">
        <x:v>1</x:v>
      </x:c>
    </x:row>
    <x:row r="11" ht="36" customHeight="1">
      <x:c r="A11" s="54" t="str">
        <x:v>VIT-ENC-HSP-001-010-01</x:v>
      </x:c>
      <x:c r="B11" s="54" t="str">
        <x:v>ENC-HSP-001-010</x:v>
      </x:c>
      <x:c r="C11" s="54" t="n">
        <x:v>1</x:v>
      </x:c>
      <x:c r="D11" s="64" t="n">
        <x:v>46267.427083333336</x:v>
      </x:c>
      <x:c r="E11" s="54" t="str">
        <x:v>HSP-001-N01</x:v>
      </x:c>
      <x:c r="F11" s="54" t="str">
        <x:v>DEMO</x:v>
      </x:c>
      <x:c r="G11" s="54" t="n">
        <x:v>114</x:v>
      </x:c>
      <x:c r="H11" s="54" t="n">
        <x:v>101</x:v>
      </x:c>
      <x:c r="I11" s="54" t="n">
        <x:v>65</x:v>
      </x:c>
      <x:c r="J11" s="54" t="n">
        <x:v>24</x:v>
      </x:c>
      <x:c r="K11" s="54" t="n">
        <x:v>93</x:v>
      </x:c>
      <x:c r="L11" s="54" t="n">
        <x:v>38.3</x:v>
      </x:c>
      <x:c r="M11" s="54" t="n">
        <x:v>14</x:v>
      </x:c>
      <x:c r="N11" s="54" t="n">
        <x:v>7</x:v>
      </x:c>
      <x:c r="O11" s="61" t="str">
        <x:v>Initial demo observation</x:v>
      </x:c>
      <x:c r="P11" s="55" t="b">
        <x:v>1</x:v>
      </x:c>
    </x:row>
    <x:row r="12" ht="36" customHeight="1">
      <x:c r="A12" s="54" t="str">
        <x:v>VIT-ENC-HSP-002-001-01</x:v>
      </x:c>
      <x:c r="B12" s="54" t="str">
        <x:v>ENC-HSP-002-001</x:v>
      </x:c>
      <x:c r="C12" s="54" t="n">
        <x:v>1</x:v>
      </x:c>
      <x:c r="D12" s="64" t="n">
        <x:v>46267.34375</x:v>
      </x:c>
      <x:c r="E12" s="54" t="str">
        <x:v>HSP-002-N01</x:v>
      </x:c>
      <x:c r="F12" s="54" t="str">
        <x:v>DEMO</x:v>
      </x:c>
      <x:c r="G12" s="54" t="n">
        <x:v>110</x:v>
      </x:c>
      <x:c r="H12" s="54" t="n">
        <x:v>102</x:v>
      </x:c>
      <x:c r="I12" s="54" t="n">
        <x:v>66</x:v>
      </x:c>
      <x:c r="J12" s="54" t="n">
        <x:v>24</x:v>
      </x:c>
      <x:c r="K12" s="54" t="n">
        <x:v>93</x:v>
      </x:c>
      <x:c r="L12" s="54" t="n">
        <x:v>38.3</x:v>
      </x:c>
      <x:c r="M12" s="54" t="n">
        <x:v>14</x:v>
      </x:c>
      <x:c r="N12" s="54" t="n">
        <x:v>7</x:v>
      </x:c>
      <x:c r="O12" s="61" t="str">
        <x:v>Initial demo observation</x:v>
      </x:c>
      <x:c r="P12" s="55" t="b">
        <x:v>1</x:v>
      </x:c>
    </x:row>
    <x:row r="13" ht="36" customHeight="1">
      <x:c r="A13" s="54" t="str">
        <x:v>VIT-ENC-HSP-002-002-01</x:v>
      </x:c>
      <x:c r="B13" s="54" t="str">
        <x:v>ENC-HSP-002-002</x:v>
      </x:c>
      <x:c r="C13" s="54" t="n">
        <x:v>1</x:v>
      </x:c>
      <x:c r="D13" s="64" t="n">
        <x:v>46267.34861111111</x:v>
      </x:c>
      <x:c r="E13" s="54" t="str">
        <x:v>HSP-002-N02</x:v>
      </x:c>
      <x:c r="F13" s="54" t="str">
        <x:v>DEMO</x:v>
      </x:c>
      <x:c r="G13" s="54" t="n">
        <x:v>111</x:v>
      </x:c>
      <x:c r="H13" s="54" t="n">
        <x:v>103</x:v>
      </x:c>
      <x:c r="I13" s="54" t="n">
        <x:v>67</x:v>
      </x:c>
      <x:c r="J13" s="54" t="n">
        <x:v>24</x:v>
      </x:c>
      <x:c r="K13" s="54" t="n">
        <x:v>93</x:v>
      </x:c>
      <x:c r="L13" s="54" t="n">
        <x:v>38.3</x:v>
      </x:c>
      <x:c r="M13" s="54" t="n">
        <x:v>14</x:v>
      </x:c>
      <x:c r="N13" s="54" t="n">
        <x:v>7</x:v>
      </x:c>
      <x:c r="O13" s="61" t="str">
        <x:v>Initial demo observation</x:v>
      </x:c>
      <x:c r="P13" s="55" t="b">
        <x:v>1</x:v>
      </x:c>
    </x:row>
    <x:row r="14" ht="36" customHeight="1">
      <x:c r="A14" s="54" t="str">
        <x:v>VIT-ENC-HSP-002-003-01</x:v>
      </x:c>
      <x:c r="B14" s="54" t="str">
        <x:v>ENC-HSP-002-003</x:v>
      </x:c>
      <x:c r="C14" s="54" t="n">
        <x:v>1</x:v>
      </x:c>
      <x:c r="D14" s="64" t="n">
        <x:v>46267.353472222225</x:v>
      </x:c>
      <x:c r="E14" s="54" t="str">
        <x:v>HSP-002-N03</x:v>
      </x:c>
      <x:c r="F14" s="54" t="str">
        <x:v>DEMO</x:v>
      </x:c>
      <x:c r="G14" s="54" t="n">
        <x:v>112</x:v>
      </x:c>
      <x:c r="H14" s="54" t="n">
        <x:v>104</x:v>
      </x:c>
      <x:c r="I14" s="54" t="n">
        <x:v>65</x:v>
      </x:c>
      <x:c r="J14" s="54" t="n">
        <x:v>24</x:v>
      </x:c>
      <x:c r="K14" s="54" t="n">
        <x:v>93</x:v>
      </x:c>
      <x:c r="L14" s="54" t="n">
        <x:v>38.3</x:v>
      </x:c>
      <x:c r="M14" s="54" t="n">
        <x:v>14</x:v>
      </x:c>
      <x:c r="N14" s="54" t="n">
        <x:v>7</x:v>
      </x:c>
      <x:c r="O14" s="61" t="str">
        <x:v>Initial demo observation</x:v>
      </x:c>
      <x:c r="P14" s="55" t="b">
        <x:v>1</x:v>
      </x:c>
    </x:row>
    <x:row r="15" ht="36" customHeight="1">
      <x:c r="A15" s="54" t="str">
        <x:v>VIT-ENC-HSP-002-004-01</x:v>
      </x:c>
      <x:c r="B15" s="54" t="str">
        <x:v>ENC-HSP-002-004</x:v>
      </x:c>
      <x:c r="C15" s="54" t="n">
        <x:v>1</x:v>
      </x:c>
      <x:c r="D15" s="64" t="n">
        <x:v>46267.4</x:v>
      </x:c>
      <x:c r="E15" s="54" t="str">
        <x:v>HSP-002-N01</x:v>
      </x:c>
      <x:c r="F15" s="54" t="str">
        <x:v>DEMO</x:v>
      </x:c>
      <x:c r="G15" s="54" t="n">
        <x:v>113</x:v>
      </x:c>
      <x:c r="H15" s="54" t="n">
        <x:v>105</x:v>
      </x:c>
      <x:c r="I15" s="54" t="n">
        <x:v>66</x:v>
      </x:c>
      <x:c r="J15" s="54" t="n">
        <x:v>24</x:v>
      </x:c>
      <x:c r="K15" s="54" t="n">
        <x:v>93</x:v>
      </x:c>
      <x:c r="L15" s="54" t="n">
        <x:v>38.3</x:v>
      </x:c>
      <x:c r="M15" s="54" t="n">
        <x:v>14</x:v>
      </x:c>
      <x:c r="N15" s="54" t="n">
        <x:v>7</x:v>
      </x:c>
      <x:c r="O15" s="61" t="str">
        <x:v>Initial demo observation</x:v>
      </x:c>
      <x:c r="P15" s="55" t="b">
        <x:v>1</x:v>
      </x:c>
    </x:row>
    <x:row r="16" ht="36" customHeight="1">
      <x:c r="A16" s="54" t="str">
        <x:v>VIT-ENC-HSP-002-005-01</x:v>
      </x:c>
      <x:c r="B16" s="54" t="str">
        <x:v>ENC-HSP-002-005</x:v>
      </x:c>
      <x:c r="C16" s="54" t="n">
        <x:v>1</x:v>
      </x:c>
      <x:c r="D16" s="64" t="n">
        <x:v>46267.404861111114</x:v>
      </x:c>
      <x:c r="E16" s="54" t="str">
        <x:v>HSP-002-N02</x:v>
      </x:c>
      <x:c r="F16" s="54" t="str">
        <x:v>DEMO</x:v>
      </x:c>
      <x:c r="G16" s="54" t="n">
        <x:v>98</x:v>
      </x:c>
      <x:c r="H16" s="54" t="n">
        <x:v>115</x:v>
      </x:c>
      <x:c r="I16" s="54" t="n">
        <x:v>77</x:v>
      </x:c>
      <x:c r="J16" s="54" t="n">
        <x:v>19</x:v>
      </x:c>
      <x:c r="K16" s="54" t="n">
        <x:v>96</x:v>
      </x:c>
      <x:c r="L16" s="54" t="n">
        <x:v>38</x:v>
      </x:c>
      <x:c r="M16" s="54" t="n">
        <x:v>15</x:v>
      </x:c>
      <x:c r="N16" s="54" t="n">
        <x:v>5</x:v>
      </x:c>
      <x:c r="O16" s="61" t="str">
        <x:v>Initial demo observation</x:v>
      </x:c>
      <x:c r="P16" s="55" t="b">
        <x:v>1</x:v>
      </x:c>
    </x:row>
    <x:row r="17" ht="36" customHeight="1">
      <x:c r="A17" s="54" t="str">
        <x:v>VIT-ENC-HSP-002-006-01</x:v>
      </x:c>
      <x:c r="B17" s="54" t="str">
        <x:v>ENC-HSP-002-006</x:v>
      </x:c>
      <x:c r="C17" s="54" t="n">
        <x:v>1</x:v>
      </x:c>
      <x:c r="D17" s="64" t="n">
        <x:v>46267.40972222222</x:v>
      </x:c>
      <x:c r="E17" s="54" t="str">
        <x:v>HSP-002-N03</x:v>
      </x:c>
      <x:c r="F17" s="54" t="str">
        <x:v>DEMO</x:v>
      </x:c>
      <x:c r="G17" s="54" t="n">
        <x:v>94</x:v>
      </x:c>
      <x:c r="H17" s="54" t="n">
        <x:v>116</x:v>
      </x:c>
      <x:c r="I17" s="54" t="n">
        <x:v>75</x:v>
      </x:c>
      <x:c r="J17" s="54" t="n">
        <x:v>19</x:v>
      </x:c>
      <x:c r="K17" s="54" t="n">
        <x:v>96</x:v>
      </x:c>
      <x:c r="L17" s="54" t="n">
        <x:v>38</x:v>
      </x:c>
      <x:c r="M17" s="54" t="n">
        <x:v>15</x:v>
      </x:c>
      <x:c r="N17" s="54" t="n">
        <x:v>5</x:v>
      </x:c>
      <x:c r="O17" s="61" t="str">
        <x:v>Initial demo observation</x:v>
      </x:c>
      <x:c r="P17" s="55" t="b">
        <x:v>1</x:v>
      </x:c>
    </x:row>
    <x:row r="18" ht="36" customHeight="1">
      <x:c r="A18" s="54" t="str">
        <x:v>VIT-ENC-HSP-002-007-01</x:v>
      </x:c>
      <x:c r="B18" s="54" t="str">
        <x:v>ENC-HSP-002-007</x:v>
      </x:c>
      <x:c r="C18" s="54" t="n">
        <x:v>1</x:v>
      </x:c>
      <x:c r="D18" s="64" t="n">
        <x:v>46267.41458333333</x:v>
      </x:c>
      <x:c r="E18" s="54" t="str">
        <x:v>HSP-002-N01</x:v>
      </x:c>
      <x:c r="F18" s="54" t="str">
        <x:v>DEMO</x:v>
      </x:c>
      <x:c r="G18" s="54" t="n">
        <x:v>95</x:v>
      </x:c>
      <x:c r="H18" s="54" t="n">
        <x:v>117</x:v>
      </x:c>
      <x:c r="I18" s="54" t="n">
        <x:v>76</x:v>
      </x:c>
      <x:c r="J18" s="54" t="n">
        <x:v>19</x:v>
      </x:c>
      <x:c r="K18" s="54" t="n">
        <x:v>96</x:v>
      </x:c>
      <x:c r="L18" s="54" t="n">
        <x:v>38</x:v>
      </x:c>
      <x:c r="M18" s="54" t="n">
        <x:v>15</x:v>
      </x:c>
      <x:c r="N18" s="54" t="n">
        <x:v>5</x:v>
      </x:c>
      <x:c r="O18" s="61" t="str">
        <x:v>Initial demo observation</x:v>
      </x:c>
      <x:c r="P18" s="55" t="b">
        <x:v>1</x:v>
      </x:c>
    </x:row>
    <x:row r="19" ht="36" customHeight="1">
      <x:c r="A19" s="54" t="str">
        <x:v>VIT-ENC-HSP-002-008-01</x:v>
      </x:c>
      <x:c r="B19" s="54" t="str">
        <x:v>ENC-HSP-002-008</x:v>
      </x:c>
      <x:c r="C19" s="54" t="n">
        <x:v>1</x:v>
      </x:c>
      <x:c r="D19" s="64" t="n">
        <x:v>46267.46111111111</x:v>
      </x:c>
      <x:c r="E19" s="54" t="str">
        <x:v>HSP-002-N02</x:v>
      </x:c>
      <x:c r="F19" s="54" t="str">
        <x:v>DEMO</x:v>
      </x:c>
      <x:c r="G19" s="54" t="n">
        <x:v>96</x:v>
      </x:c>
      <x:c r="H19" s="54" t="n">
        <x:v>118</x:v>
      </x:c>
      <x:c r="I19" s="54" t="n">
        <x:v>77</x:v>
      </x:c>
      <x:c r="J19" s="54" t="n">
        <x:v>19</x:v>
      </x:c>
      <x:c r="K19" s="54" t="n">
        <x:v>96</x:v>
      </x:c>
      <x:c r="L19" s="54" t="n">
        <x:v>38</x:v>
      </x:c>
      <x:c r="M19" s="54" t="n">
        <x:v>15</x:v>
      </x:c>
      <x:c r="N19" s="54" t="n">
        <x:v>5</x:v>
      </x:c>
      <x:c r="O19" s="61" t="str">
        <x:v>Initial demo observation</x:v>
      </x:c>
      <x:c r="P19" s="55" t="b">
        <x:v>1</x:v>
      </x:c>
    </x:row>
    <x:row r="20" ht="36" customHeight="1">
      <x:c r="A20" s="54" t="str">
        <x:v>VIT-ENC-HSP-002-009-01</x:v>
      </x:c>
      <x:c r="B20" s="54" t="str">
        <x:v>ENC-HSP-002-009</x:v>
      </x:c>
      <x:c r="C20" s="54" t="n">
        <x:v>1</x:v>
      </x:c>
      <x:c r="D20" s="64" t="n">
        <x:v>46267.424305555556</x:v>
      </x:c>
      <x:c r="E20" s="54" t="str">
        <x:v>HSP-002-N03</x:v>
      </x:c>
      <x:c r="F20" s="54" t="str">
        <x:v>DEMO</x:v>
      </x:c>
      <x:c r="G20" s="54" t="n">
        <x:v>97</x:v>
      </x:c>
      <x:c r="H20" s="54" t="n">
        <x:v>119</x:v>
      </x:c>
      <x:c r="I20" s="54" t="n">
        <x:v>75</x:v>
      </x:c>
      <x:c r="J20" s="54" t="n">
        <x:v>19</x:v>
      </x:c>
      <x:c r="K20" s="54" t="n">
        <x:v>96</x:v>
      </x:c>
      <x:c r="L20" s="54" t="n">
        <x:v>38</x:v>
      </x:c>
      <x:c r="M20" s="54" t="n">
        <x:v>15</x:v>
      </x:c>
      <x:c r="N20" s="54" t="n">
        <x:v>5</x:v>
      </x:c>
      <x:c r="O20" s="61" t="str">
        <x:v>Initial demo observation</x:v>
      </x:c>
      <x:c r="P20" s="55" t="b">
        <x:v>1</x:v>
      </x:c>
    </x:row>
    <x:row r="21" ht="36" customHeight="1">
      <x:c r="A21" s="54" t="str">
        <x:v>VIT-ENC-HSP-002-010-01</x:v>
      </x:c>
      <x:c r="B21" s="54" t="str">
        <x:v>ENC-HSP-002-010</x:v>
      </x:c>
      <x:c r="C21" s="54" t="n">
        <x:v>1</x:v>
      </x:c>
      <x:c r="D21" s="64" t="n">
        <x:v>46267.42916666667</x:v>
      </x:c>
      <x:c r="E21" s="54" t="str">
        <x:v>HSP-002-N01</x:v>
      </x:c>
      <x:c r="F21" s="54" t="str">
        <x:v>DEMO</x:v>
      </x:c>
      <x:c r="G21" s="54" t="n">
        <x:v>98</x:v>
      </x:c>
      <x:c r="H21" s="54" t="n">
        <x:v>120</x:v>
      </x:c>
      <x:c r="I21" s="54" t="n">
        <x:v>76</x:v>
      </x:c>
      <x:c r="J21" s="54" t="n">
        <x:v>19</x:v>
      </x:c>
      <x:c r="K21" s="54" t="n">
        <x:v>96</x:v>
      </x:c>
      <x:c r="L21" s="54" t="n">
        <x:v>38</x:v>
      </x:c>
      <x:c r="M21" s="54" t="n">
        <x:v>15</x:v>
      </x:c>
      <x:c r="N21" s="54" t="n">
        <x:v>5</x:v>
      </x:c>
      <x:c r="O21" s="61" t="str">
        <x:v>Initial demo observation</x:v>
      </x:c>
      <x:c r="P21" s="55" t="b">
        <x:v>1</x:v>
      </x:c>
    </x:row>
    <x:row r="22" ht="36" customHeight="1">
      <x:c r="A22" s="54" t="str">
        <x:v>VIT-ENC-HSP-003-001-01</x:v>
      </x:c>
      <x:c r="B22" s="54" t="str">
        <x:v>ENC-HSP-003-001</x:v>
      </x:c>
      <x:c r="C22" s="54" t="n">
        <x:v>1</x:v>
      </x:c>
      <x:c r="D22" s="64" t="n">
        <x:v>46267.34583333333</x:v>
      </x:c>
      <x:c r="E22" s="54" t="str">
        <x:v>HSP-003-N01</x:v>
      </x:c>
      <x:c r="F22" s="54" t="str">
        <x:v>DEMO</x:v>
      </x:c>
      <x:c r="G22" s="54" t="n">
        <x:v>94</x:v>
      </x:c>
      <x:c r="H22" s="54" t="n">
        <x:v>121</x:v>
      </x:c>
      <x:c r="I22" s="54" t="n">
        <x:v>77</x:v>
      </x:c>
      <x:c r="J22" s="54" t="n">
        <x:v>19</x:v>
      </x:c>
      <x:c r="K22" s="54" t="n">
        <x:v>96</x:v>
      </x:c>
      <x:c r="L22" s="54" t="n">
        <x:v>38</x:v>
      </x:c>
      <x:c r="M22" s="54" t="n">
        <x:v>15</x:v>
      </x:c>
      <x:c r="N22" s="54" t="n">
        <x:v>5</x:v>
      </x:c>
      <x:c r="O22" s="61" t="str">
        <x:v>Initial demo observation</x:v>
      </x:c>
      <x:c r="P22" s="55" t="b">
        <x:v>1</x:v>
      </x:c>
    </x:row>
    <x:row r="23" ht="36" customHeight="1">
      <x:c r="A23" s="54" t="str">
        <x:v>VIT-ENC-HSP-003-002-01</x:v>
      </x:c>
      <x:c r="B23" s="54" t="str">
        <x:v>ENC-HSP-003-002</x:v>
      </x:c>
      <x:c r="C23" s="54" t="n">
        <x:v>1</x:v>
      </x:c>
      <x:c r="D23" s="64" t="n">
        <x:v>46267.350694444445</x:v>
      </x:c>
      <x:c r="E23" s="54" t="str">
        <x:v>HSP-003-N02</x:v>
      </x:c>
      <x:c r="F23" s="54" t="str">
        <x:v>DEMO</x:v>
      </x:c>
      <x:c r="G23" s="54" t="n">
        <x:v>95</x:v>
      </x:c>
      <x:c r="H23" s="54" t="n">
        <x:v>115</x:v>
      </x:c>
      <x:c r="I23" s="54" t="n">
        <x:v>75</x:v>
      </x:c>
      <x:c r="J23" s="54" t="n">
        <x:v>19</x:v>
      </x:c>
      <x:c r="K23" s="54" t="n">
        <x:v>96</x:v>
      </x:c>
      <x:c r="L23" s="54" t="n">
        <x:v>38</x:v>
      </x:c>
      <x:c r="M23" s="54" t="n">
        <x:v>15</x:v>
      </x:c>
      <x:c r="N23" s="54" t="n">
        <x:v>5</x:v>
      </x:c>
      <x:c r="O23" s="61" t="str">
        <x:v>Initial demo observation</x:v>
      </x:c>
      <x:c r="P23" s="55" t="b">
        <x:v>1</x:v>
      </x:c>
    </x:row>
    <x:row r="24" ht="36" customHeight="1">
      <x:c r="A24" s="54" t="str">
        <x:v>VIT-ENC-HSP-003-003-01</x:v>
      </x:c>
      <x:c r="B24" s="54" t="str">
        <x:v>ENC-HSP-003-003</x:v>
      </x:c>
      <x:c r="C24" s="54" t="n">
        <x:v>1</x:v>
      </x:c>
      <x:c r="D24" s="64" t="n">
        <x:v>46267.35555555556</x:v>
      </x:c>
      <x:c r="E24" s="54" t="str">
        <x:v>HSP-003-N03</x:v>
      </x:c>
      <x:c r="F24" s="54" t="str">
        <x:v>DEMO</x:v>
      </x:c>
      <x:c r="G24" s="54" t="n">
        <x:v>84</x:v>
      </x:c>
      <x:c r="H24" s="54" t="n">
        <x:v>120</x:v>
      </x:c>
      <x:c r="I24" s="54" t="n">
        <x:v>80</x:v>
      </x:c>
      <x:c r="J24" s="54" t="n">
        <x:v>17</x:v>
      </x:c>
      <x:c r="K24" s="54" t="n">
        <x:v>98</x:v>
      </x:c>
      <x:c r="L24" s="54" t="n">
        <x:v>37.3</x:v>
      </x:c>
      <x:c r="M24" s="54" t="n">
        <x:v>15</x:v>
      </x:c>
      <x:c r="N24" s="54" t="n">
        <x:v>3</x:v>
      </x:c>
      <x:c r="O24" s="61" t="str">
        <x:v>Initial demo observation</x:v>
      </x:c>
      <x:c r="P24" s="55" t="b">
        <x:v>1</x:v>
      </x:c>
    </x:row>
    <x:row r="25" ht="36" customHeight="1">
      <x:c r="A25" s="54" t="str">
        <x:v>VIT-ENC-HSP-003-004-01</x:v>
      </x:c>
      <x:c r="B25" s="54" t="str">
        <x:v>ENC-HSP-003-004</x:v>
      </x:c>
      <x:c r="C25" s="54" t="n">
        <x:v>1</x:v>
      </x:c>
      <x:c r="D25" s="64" t="n">
        <x:v>46267.402083333334</x:v>
      </x:c>
      <x:c r="E25" s="54" t="str">
        <x:v>HSP-003-N01</x:v>
      </x:c>
      <x:c r="F25" s="54" t="str">
        <x:v>DEMO</x:v>
      </x:c>
      <x:c r="G25" s="54" t="n">
        <x:v>85</x:v>
      </x:c>
      <x:c r="H25" s="54" t="n">
        <x:v>121</x:v>
      </x:c>
      <x:c r="I25" s="54" t="n">
        <x:v>81</x:v>
      </x:c>
      <x:c r="J25" s="54" t="n">
        <x:v>17</x:v>
      </x:c>
      <x:c r="K25" s="54" t="n">
        <x:v>98</x:v>
      </x:c>
      <x:c r="L25" s="54" t="n">
        <x:v>37.3</x:v>
      </x:c>
      <x:c r="M25" s="54" t="n">
        <x:v>15</x:v>
      </x:c>
      <x:c r="N25" s="54" t="n">
        <x:v>3</x:v>
      </x:c>
      <x:c r="O25" s="61" t="str">
        <x:v>Initial demo observation</x:v>
      </x:c>
      <x:c r="P25" s="55" t="b">
        <x:v>1</x:v>
      </x:c>
    </x:row>
    <x:row r="26" ht="36" customHeight="1">
      <x:c r="A26" s="54" t="str">
        <x:v>VIT-ENC-HSP-003-005-01</x:v>
      </x:c>
      <x:c r="B26" s="54" t="str">
        <x:v>ENC-HSP-003-005</x:v>
      </x:c>
      <x:c r="C26" s="54" t="n">
        <x:v>1</x:v>
      </x:c>
      <x:c r="D26" s="64" t="n">
        <x:v>46267.40694444445</x:v>
      </x:c>
      <x:c r="E26" s="54" t="str">
        <x:v>HSP-003-N02</x:v>
      </x:c>
      <x:c r="F26" s="54" t="str">
        <x:v>DEMO</x:v>
      </x:c>
      <x:c r="G26" s="54" t="n">
        <x:v>86</x:v>
      </x:c>
      <x:c r="H26" s="54" t="n">
        <x:v>122</x:v>
      </x:c>
      <x:c r="I26" s="54" t="n">
        <x:v>79</x:v>
      </x:c>
      <x:c r="J26" s="54" t="n">
        <x:v>17</x:v>
      </x:c>
      <x:c r="K26" s="54" t="n">
        <x:v>98</x:v>
      </x:c>
      <x:c r="L26" s="54" t="n">
        <x:v>37.3</x:v>
      </x:c>
      <x:c r="M26" s="54" t="n">
        <x:v>15</x:v>
      </x:c>
      <x:c r="N26" s="54" t="n">
        <x:v>3</x:v>
      </x:c>
      <x:c r="O26" s="61" t="str">
        <x:v>Initial demo observation</x:v>
      </x:c>
      <x:c r="P26" s="55" t="b">
        <x:v>1</x:v>
      </x:c>
    </x:row>
    <x:row r="27" ht="36" customHeight="1">
      <x:c r="A27" s="54" t="str">
        <x:v>VIT-ENC-HSP-003-006-01</x:v>
      </x:c>
      <x:c r="B27" s="54" t="str">
        <x:v>ENC-HSP-003-006</x:v>
      </x:c>
      <x:c r="C27" s="54" t="n">
        <x:v>1</x:v>
      </x:c>
      <x:c r="D27" s="64" t="n">
        <x:v>46267.41180555556</x:v>
      </x:c>
      <x:c r="E27" s="54" t="str">
        <x:v>HSP-003-N03</x:v>
      </x:c>
      <x:c r="F27" s="54" t="str">
        <x:v>DEMO</x:v>
      </x:c>
      <x:c r="G27" s="54" t="n">
        <x:v>82</x:v>
      </x:c>
      <x:c r="H27" s="54" t="n">
        <x:v>123</x:v>
      </x:c>
      <x:c r="I27" s="54" t="n">
        <x:v>80</x:v>
      </x:c>
      <x:c r="J27" s="54" t="n">
        <x:v>17</x:v>
      </x:c>
      <x:c r="K27" s="54" t="n">
        <x:v>98</x:v>
      </x:c>
      <x:c r="L27" s="54" t="n">
        <x:v>37.3</x:v>
      </x:c>
      <x:c r="M27" s="54" t="n">
        <x:v>15</x:v>
      </x:c>
      <x:c r="N27" s="54" t="n">
        <x:v>3</x:v>
      </x:c>
      <x:c r="O27" s="61" t="str">
        <x:v>Initial demo observation</x:v>
      </x:c>
      <x:c r="P27" s="55" t="b">
        <x:v>1</x:v>
      </x:c>
    </x:row>
    <x:row r="28" ht="36" customHeight="1">
      <x:c r="A28" s="54" t="str">
        <x:v>VIT-ENC-HSP-003-007-01</x:v>
      </x:c>
      <x:c r="B28" s="54" t="str">
        <x:v>ENC-HSP-003-007</x:v>
      </x:c>
      <x:c r="C28" s="54" t="n">
        <x:v>1</x:v>
      </x:c>
      <x:c r="D28" s="64" t="n">
        <x:v>46267.416666666664</x:v>
      </x:c>
      <x:c r="E28" s="54" t="str">
        <x:v>HSP-003-N01</x:v>
      </x:c>
      <x:c r="F28" s="54" t="str">
        <x:v>DEMO</x:v>
      </x:c>
      <x:c r="G28" s="54" t="n">
        <x:v>83</x:v>
      </x:c>
      <x:c r="H28" s="54" t="n">
        <x:v>124</x:v>
      </x:c>
      <x:c r="I28" s="54" t="n">
        <x:v>81</x:v>
      </x:c>
      <x:c r="J28" s="54" t="n">
        <x:v>17</x:v>
      </x:c>
      <x:c r="K28" s="54" t="n">
        <x:v>98</x:v>
      </x:c>
      <x:c r="L28" s="54" t="n">
        <x:v>37.3</x:v>
      </x:c>
      <x:c r="M28" s="54" t="n">
        <x:v>15</x:v>
      </x:c>
      <x:c r="N28" s="54" t="n">
        <x:v>3</x:v>
      </x:c>
      <x:c r="O28" s="61" t="str">
        <x:v>Initial demo observation</x:v>
      </x:c>
      <x:c r="P28" s="55" t="b">
        <x:v>1</x:v>
      </x:c>
    </x:row>
    <x:row r="29" ht="36" customHeight="1">
      <x:c r="A29" s="54" t="str">
        <x:v>VIT-ENC-HSP-003-008-01</x:v>
      </x:c>
      <x:c r="B29" s="54" t="str">
        <x:v>ENC-HSP-003-008</x:v>
      </x:c>
      <x:c r="C29" s="54" t="n">
        <x:v>1</x:v>
      </x:c>
      <x:c r="D29" s="64" t="n">
        <x:v>46267.42152777778</x:v>
      </x:c>
      <x:c r="E29" s="54" t="str">
        <x:v>HSP-003-N02</x:v>
      </x:c>
      <x:c r="F29" s="54" t="str">
        <x:v>DEMO</x:v>
      </x:c>
      <x:c r="G29" s="54" t="n">
        <x:v>84</x:v>
      </x:c>
      <x:c r="H29" s="54" t="n">
        <x:v>125</x:v>
      </x:c>
      <x:c r="I29" s="54" t="n">
        <x:v>79</x:v>
      </x:c>
      <x:c r="J29" s="54" t="n">
        <x:v>17</x:v>
      </x:c>
      <x:c r="K29" s="54" t="n">
        <x:v>98</x:v>
      </x:c>
      <x:c r="L29" s="54" t="n">
        <x:v>37.3</x:v>
      </x:c>
      <x:c r="M29" s="54" t="n">
        <x:v>15</x:v>
      </x:c>
      <x:c r="N29" s="54" t="n">
        <x:v>3</x:v>
      </x:c>
      <x:c r="O29" s="61" t="str">
        <x:v>Initial demo observation</x:v>
      </x:c>
      <x:c r="P29" s="55" t="b">
        <x:v>1</x:v>
      </x:c>
    </x:row>
    <x:row r="30" ht="36" customHeight="1">
      <x:c r="A30" s="54" t="str">
        <x:v>VIT-ENC-HSP-003-009-01</x:v>
      </x:c>
      <x:c r="B30" s="54" t="str">
        <x:v>ENC-HSP-003-009</x:v>
      </x:c>
      <x:c r="C30" s="54" t="n">
        <x:v>1</x:v>
      </x:c>
      <x:c r="D30" s="64" t="n">
        <x:v>46267.42638888889</x:v>
      </x:c>
      <x:c r="E30" s="54" t="str">
        <x:v>HSP-003-N03</x:v>
      </x:c>
      <x:c r="F30" s="54" t="str">
        <x:v>DEMO</x:v>
      </x:c>
      <x:c r="G30" s="54" t="n">
        <x:v>77</x:v>
      </x:c>
      <x:c r="H30" s="54" t="n">
        <x:v>121</x:v>
      </x:c>
      <x:c r="I30" s="54" t="n">
        <x:v>78</x:v>
      </x:c>
      <x:c r="J30" s="54" t="n">
        <x:v>16</x:v>
      </x:c>
      <x:c r="K30" s="54" t="n">
        <x:v>99</x:v>
      </x:c>
      <x:c r="L30" s="54" t="n">
        <x:v>36.9</x:v>
      </x:c>
      <x:c r="M30" s="54" t="n">
        <x:v>15</x:v>
      </x:c>
      <x:c r="N30" s="54" t="n">
        <x:v>1</x:v>
      </x:c>
      <x:c r="O30" s="61" t="str">
        <x:v>Initial demo observation</x:v>
      </x:c>
      <x:c r="P30" s="55" t="b">
        <x:v>1</x:v>
      </x:c>
    </x:row>
    <x:row r="31" ht="36" customHeight="1">
      <x:c r="A31" s="54" t="str">
        <x:v>VIT-ENC-HSP-003-010-01</x:v>
      </x:c>
      <x:c r="B31" s="54" t="str">
        <x:v>ENC-HSP-003-010</x:v>
      </x:c>
      <x:c r="C31" s="54" t="n">
        <x:v>1</x:v>
      </x:c>
      <x:c r="D31" s="64" t="n">
        <x:v>46267.43125</x:v>
      </x:c>
      <x:c r="E31" s="54" t="str">
        <x:v>HSP-003-N01</x:v>
      </x:c>
      <x:c r="F31" s="54" t="str">
        <x:v>DEMO</x:v>
      </x:c>
      <x:c r="G31" s="54" t="n">
        <x:v>78</x:v>
      </x:c>
      <x:c r="H31" s="54" t="n">
        <x:v>122</x:v>
      </x:c>
      <x:c r="I31" s="54" t="n">
        <x:v>79</x:v>
      </x:c>
      <x:c r="J31" s="54" t="n">
        <x:v>16</x:v>
      </x:c>
      <x:c r="K31" s="54" t="n">
        <x:v>99</x:v>
      </x:c>
      <x:c r="L31" s="54" t="n">
        <x:v>36.9</x:v>
      </x:c>
      <x:c r="M31" s="54" t="n">
        <x:v>15</x:v>
      </x:c>
      <x:c r="N31" s="54" t="n">
        <x:v>1</x:v>
      </x:c>
      <x:c r="O31" s="61" t="str">
        <x:v>Initial demo observation</x:v>
      </x:c>
      <x:c r="P31" s="55" t="b">
        <x:v>1</x:v>
      </x:c>
    </x:row>
    <x:row r="32" ht="36" customHeight="1">
      <x:c r="A32" s="54" t="str">
        <x:v>VIT-ENC-HSP-004-001-01</x:v>
      </x:c>
      <x:c r="B32" s="54" t="str">
        <x:v>ENC-HSP-004-001</x:v>
      </x:c>
      <x:c r="C32" s="54" t="n">
        <x:v>1</x:v>
      </x:c>
      <x:c r="D32" s="64" t="n">
        <x:v>46267.347916666666</x:v>
      </x:c>
      <x:c r="E32" s="54" t="str">
        <x:v>HSP-004-N01</x:v>
      </x:c>
      <x:c r="F32" s="54" t="str">
        <x:v>DEMO</x:v>
      </x:c>
      <x:c r="G32" s="54" t="n">
        <x:v>74</x:v>
      </x:c>
      <x:c r="H32" s="54" t="n">
        <x:v>123</x:v>
      </x:c>
      <x:c r="I32" s="54" t="n">
        <x:v>77</x:v>
      </x:c>
      <x:c r="J32" s="54" t="n">
        <x:v>16</x:v>
      </x:c>
      <x:c r="K32" s="54" t="n">
        <x:v>99</x:v>
      </x:c>
      <x:c r="L32" s="54" t="n">
        <x:v>36.9</x:v>
      </x:c>
      <x:c r="M32" s="54" t="n">
        <x:v>15</x:v>
      </x:c>
      <x:c r="N32" s="54" t="n">
        <x:v>1</x:v>
      </x:c>
      <x:c r="O32" s="61" t="str">
        <x:v>Initial demo observation</x:v>
      </x:c>
      <x:c r="P32" s="55" t="b">
        <x:v>1</x:v>
      </x:c>
    </x:row>
    <x:row r="33" ht="36" customHeight="1">
      <x:c r="A33" s="54" t="str">
        <x:v>VIT-ENC-HSP-004-002-01</x:v>
      </x:c>
      <x:c r="B33" s="54" t="str">
        <x:v>ENC-HSP-004-002</x:v>
      </x:c>
      <x:c r="C33" s="54" t="n">
        <x:v>1</x:v>
      </x:c>
      <x:c r="D33" s="64" t="n">
        <x:v>46267.35277777778</x:v>
      </x:c>
      <x:c r="E33" s="54" t="str">
        <x:v>HSP-004-N02</x:v>
      </x:c>
      <x:c r="F33" s="54" t="str">
        <x:v>DEMO</x:v>
      </x:c>
      <x:c r="G33" s="54" t="n">
        <x:v>75</x:v>
      </x:c>
      <x:c r="H33" s="54" t="n">
        <x:v>124</x:v>
      </x:c>
      <x:c r="I33" s="54" t="n">
        <x:v>78</x:v>
      </x:c>
      <x:c r="J33" s="54" t="n">
        <x:v>16</x:v>
      </x:c>
      <x:c r="K33" s="54" t="n">
        <x:v>99</x:v>
      </x:c>
      <x:c r="L33" s="54" t="n">
        <x:v>36.9</x:v>
      </x:c>
      <x:c r="M33" s="54" t="n">
        <x:v>15</x:v>
      </x:c>
      <x:c r="N33" s="54" t="n">
        <x:v>1</x:v>
      </x:c>
      <x:c r="O33" s="61" t="str">
        <x:v>Initial demo observation</x:v>
      </x:c>
      <x:c r="P33" s="55" t="b">
        <x:v>1</x:v>
      </x:c>
    </x:row>
    <x:row r="34" ht="36" customHeight="1">
      <x:c r="A34" s="54" t="str">
        <x:v>VIT-ENC-HSP-004-003-01</x:v>
      </x:c>
      <x:c r="B34" s="54" t="str">
        <x:v>ENC-HSP-004-003</x:v>
      </x:c>
      <x:c r="C34" s="54" t="n">
        <x:v>1</x:v>
      </x:c>
      <x:c r="D34" s="64" t="n">
        <x:v>46267.35763888889</x:v>
      </x:c>
      <x:c r="E34" s="54" t="str">
        <x:v>HSP-004-N03</x:v>
      </x:c>
      <x:c r="F34" s="54" t="str">
        <x:v>DEMO</x:v>
      </x:c>
      <x:c r="G34" s="54" t="n">
        <x:v>84</x:v>
      </x:c>
      <x:c r="H34" s="54" t="n">
        <x:v>123</x:v>
      </x:c>
      <x:c r="I34" s="54" t="n">
        <x:v>81</x:v>
      </x:c>
      <x:c r="J34" s="54" t="n">
        <x:v>17</x:v>
      </x:c>
      <x:c r="K34" s="54" t="n">
        <x:v>98</x:v>
      </x:c>
      <x:c r="L34" s="54" t="n">
        <x:v>37.3</x:v>
      </x:c>
      <x:c r="M34" s="54" t="n">
        <x:v>15</x:v>
      </x:c>
      <x:c r="N34" s="54" t="n">
        <x:v>3</x:v>
      </x:c>
      <x:c r="O34" s="61" t="str">
        <x:v>Initial demo observation</x:v>
      </x:c>
      <x:c r="P34" s="55" t="b">
        <x:v>1</x:v>
      </x:c>
    </x:row>
    <x:row r="35" ht="36" customHeight="1">
      <x:c r="A35" s="54" t="str">
        <x:v>VIT-ENC-HSP-004-004-01</x:v>
      </x:c>
      <x:c r="B35" s="54" t="str">
        <x:v>ENC-HSP-004-004</x:v>
      </x:c>
      <x:c r="C35" s="54" t="n">
        <x:v>1</x:v>
      </x:c>
      <x:c r="D35" s="64" t="n">
        <x:v>46267.40416666667</x:v>
      </x:c>
      <x:c r="E35" s="54" t="str">
        <x:v>HSP-004-N01</x:v>
      </x:c>
      <x:c r="F35" s="54" t="str">
        <x:v>DEMO</x:v>
      </x:c>
      <x:c r="G35" s="54" t="n">
        <x:v>85</x:v>
      </x:c>
      <x:c r="H35" s="54" t="n">
        <x:v>124</x:v>
      </x:c>
      <x:c r="I35" s="54" t="n">
        <x:v>79</x:v>
      </x:c>
      <x:c r="J35" s="54" t="n">
        <x:v>17</x:v>
      </x:c>
      <x:c r="K35" s="54" t="n">
        <x:v>98</x:v>
      </x:c>
      <x:c r="L35" s="54" t="n">
        <x:v>37.3</x:v>
      </x:c>
      <x:c r="M35" s="54" t="n">
        <x:v>15</x:v>
      </x:c>
      <x:c r="N35" s="54" t="n">
        <x:v>3</x:v>
      </x:c>
      <x:c r="O35" s="61" t="str">
        <x:v>Initial demo observation</x:v>
      </x:c>
      <x:c r="P35" s="55" t="b">
        <x:v>1</x:v>
      </x:c>
    </x:row>
    <x:row r="36" ht="36" customHeight="1">
      <x:c r="A36" s="54" t="str">
        <x:v>VIT-ENC-HSP-004-005-01</x:v>
      </x:c>
      <x:c r="B36" s="54" t="str">
        <x:v>ENC-HSP-004-005</x:v>
      </x:c>
      <x:c r="C36" s="54" t="n">
        <x:v>1</x:v>
      </x:c>
      <x:c r="D36" s="64" t="n">
        <x:v>46267.40902777778</x:v>
      </x:c>
      <x:c r="E36" s="54" t="str">
        <x:v>HSP-004-N02</x:v>
      </x:c>
      <x:c r="F36" s="54" t="str">
        <x:v>DEMO</x:v>
      </x:c>
      <x:c r="G36" s="54" t="n">
        <x:v>98</x:v>
      </x:c>
      <x:c r="H36" s="54" t="n">
        <x:v>121</x:v>
      </x:c>
      <x:c r="I36" s="54" t="n">
        <x:v>76</x:v>
      </x:c>
      <x:c r="J36" s="54" t="n">
        <x:v>19</x:v>
      </x:c>
      <x:c r="K36" s="54" t="n">
        <x:v>96</x:v>
      </x:c>
      <x:c r="L36" s="54" t="n">
        <x:v>38</x:v>
      </x:c>
      <x:c r="M36" s="54" t="n">
        <x:v>15</x:v>
      </x:c>
      <x:c r="N36" s="54" t="n">
        <x:v>5</x:v>
      </x:c>
      <x:c r="O36" s="61" t="str">
        <x:v>Initial demo observation</x:v>
      </x:c>
      <x:c r="P36" s="55" t="b">
        <x:v>1</x:v>
      </x:c>
    </x:row>
    <x:row r="37" ht="36" customHeight="1">
      <x:c r="A37" s="54" t="str">
        <x:v>VIT-ENC-HSP-004-005-02</x:v>
      </x:c>
      <x:c r="B37" s="54" t="str">
        <x:v>ENC-HSP-004-005</x:v>
      </x:c>
      <x:c r="C37" s="54" t="n">
        <x:v>2</x:v>
      </x:c>
      <x:c r="D37" s="64" t="n">
        <x:v>46267.42291666667</x:v>
      </x:c>
      <x:c r="E37" s="54" t="str">
        <x:v>HSP-004-N02</x:v>
      </x:c>
      <x:c r="F37" s="54" t="str">
        <x:v>DEMO</x:v>
      </x:c>
      <x:c r="G37" s="54" t="n">
        <x:v>98</x:v>
      </x:c>
      <x:c r="H37" s="54" t="n">
        <x:v>121</x:v>
      </x:c>
      <x:c r="I37" s="54" t="n">
        <x:v>76</x:v>
      </x:c>
      <x:c r="J37" s="54" t="n">
        <x:v>19</x:v>
      </x:c>
      <x:c r="K37" s="54" t="n">
        <x:v>96</x:v>
      </x:c>
      <x:c r="L37" s="54" t="n">
        <x:v>38</x:v>
      </x:c>
      <x:c r="M37" s="54" t="n">
        <x:v>15</x:v>
      </x:c>
      <x:c r="N37" s="54" t="n">
        <x:v>5</x:v>
      </x:c>
      <x:c r="O37" s="61" t="str">
        <x:v>Demo reassessment observation</x:v>
      </x:c>
      <x:c r="P37" s="55" t="b">
        <x:v>1</x:v>
      </x:c>
    </x:row>
    <x:row r="38" ht="36" customHeight="1">
      <x:c r="A38" s="54" t="str">
        <x:v>VIT-ENC-HSP-004-006-01</x:v>
      </x:c>
      <x:c r="B38" s="54" t="str">
        <x:v>ENC-HSP-004-006</x:v>
      </x:c>
      <x:c r="C38" s="54" t="n">
        <x:v>1</x:v>
      </x:c>
      <x:c r="D38" s="64" t="n">
        <x:v>46267.41388888889</x:v>
      </x:c>
      <x:c r="E38" s="54" t="str">
        <x:v>HSP-004-N03</x:v>
      </x:c>
      <x:c r="F38" s="54" t="str">
        <x:v>DEMO</x:v>
      </x:c>
      <x:c r="G38" s="54" t="n">
        <x:v>110</x:v>
      </x:c>
      <x:c r="H38" s="54" t="n">
        <x:v>99</x:v>
      </x:c>
      <x:c r="I38" s="54" t="n">
        <x:v>67</x:v>
      </x:c>
      <x:c r="J38" s="54" t="n">
        <x:v>24</x:v>
      </x:c>
      <x:c r="K38" s="54" t="n">
        <x:v>89</x:v>
      </x:c>
      <x:c r="L38" s="54" t="n">
        <x:v>38.3</x:v>
      </x:c>
      <x:c r="M38" s="54" t="n">
        <x:v>14</x:v>
      </x:c>
      <x:c r="N38" s="54" t="n">
        <x:v>7</x:v>
      </x:c>
      <x:c r="O38" s="61" t="str">
        <x:v>Low SpO2 reading; verify signal and repeat</x:v>
      </x:c>
      <x:c r="P38" s="55" t="b">
        <x:v>1</x:v>
      </x:c>
    </x:row>
    <x:row r="39" ht="36" customHeight="1">
      <x:c r="A39" s="54" t="str">
        <x:v>VIT-ENC-HSP-004-006-02</x:v>
      </x:c>
      <x:c r="B39" s="54" t="str">
        <x:v>ENC-HSP-004-006</x:v>
      </x:c>
      <x:c r="C39" s="54" t="n">
        <x:v>2</x:v>
      </x:c>
      <x:c r="D39" s="64" t="n">
        <x:v>46267.427777777775</x:v>
      </x:c>
      <x:c r="E39" s="54" t="str">
        <x:v>HSP-004-N03</x:v>
      </x:c>
      <x:c r="F39" s="54" t="str">
        <x:v>DEMO</x:v>
      </x:c>
      <x:c r="G39" s="54" t="n">
        <x:v>110</x:v>
      </x:c>
      <x:c r="H39" s="54" t="n">
        <x:v>99</x:v>
      </x:c>
      <x:c r="I39" s="54" t="n">
        <x:v>67</x:v>
      </x:c>
      <x:c r="J39" s="54" t="n">
        <x:v>24</x:v>
      </x:c>
      <x:c r="K39" s="54" t="n">
        <x:v>92</x:v>
      </x:c>
      <x:c r="L39" s="54" t="n">
        <x:v>38.3</x:v>
      </x:c>
      <x:c r="M39" s="54" t="n">
        <x:v>14</x:v>
      </x:c>
      <x:c r="N39" s="54" t="n">
        <x:v>7</x:v>
      </x:c>
      <x:c r="O39" s="61" t="str">
        <x:v>Demo reassessment observation</x:v>
      </x:c>
      <x:c r="P39" s="55" t="b">
        <x:v>1</x:v>
      </x:c>
    </x:row>
    <x:row r="40" ht="36" customHeight="1">
      <x:c r="A40" s="54" t="str">
        <x:v>VIT-ENC-HSP-004-007-01</x:v>
      </x:c>
      <x:c r="B40" s="54" t="str">
        <x:v>ENC-HSP-004-007</x:v>
      </x:c>
      <x:c r="C40" s="54" t="n">
        <x:v>1</x:v>
      </x:c>
      <x:c r="D40" s="64" t="n">
        <x:v>46267.41875</x:v>
      </x:c>
      <x:c r="E40" s="54" t="str">
        <x:v>HSP-004-N01</x:v>
      </x:c>
      <x:c r="F40" s="54" t="str">
        <x:v>DEMO</x:v>
      </x:c>
      <x:c r="G40" s="54" t="n">
        <x:v>123</x:v>
      </x:c>
      <x:c r="H40" s="54" t="n">
        <x:v>88</x:v>
      </x:c>
      <x:c r="I40" s="54" t="n">
        <x:v>65</x:v>
      </x:c>
      <x:c r="J40" s="54" t="n">
        <x:v>24</x:v>
      </x:c>
      <x:c r="K40" s="54" t="n">
        <x:v>93</x:v>
      </x:c>
      <x:c r="L40" s="54" t="n">
        <x:v>38.3</x:v>
      </x:c>
      <x:c r="M40" s="54" t="n">
        <x:v>14</x:v>
      </x:c>
      <x:c r="N40" s="54" t="n">
        <x:v>7</x:v>
      </x:c>
      <x:c r="O40" s="61" t="str">
        <x:v>Initial demo observation</x:v>
      </x:c>
      <x:c r="P40" s="55" t="b">
        <x:v>1</x:v>
      </x:c>
    </x:row>
    <x:row r="41" ht="36" customHeight="1">
      <x:c r="A41" s="54" t="str">
        <x:v>VIT-ENC-HSP-004-007-02</x:v>
      </x:c>
      <x:c r="B41" s="54" t="str">
        <x:v>ENC-HSP-004-007</x:v>
      </x:c>
      <x:c r="C41" s="54" t="n">
        <x:v>2</x:v>
      </x:c>
      <x:c r="D41" s="64" t="n">
        <x:v>46267.43263888889</x:v>
      </x:c>
      <x:c r="E41" s="54" t="str">
        <x:v>HSP-004-N01</x:v>
      </x:c>
      <x:c r="F41" s="54" t="str">
        <x:v>DEMO</x:v>
      </x:c>
      <x:c r="G41" s="54" t="n">
        <x:v>129</x:v>
      </x:c>
      <x:c r="H41" s="54" t="n">
        <x:v>82</x:v>
      </x:c>
      <x:c r="I41" s="54" t="n">
        <x:v>65</x:v>
      </x:c>
      <x:c r="J41" s="54" t="n">
        <x:v>24</x:v>
      </x:c>
      <x:c r="K41" s="54" t="n">
        <x:v>93</x:v>
      </x:c>
      <x:c r="L41" s="54" t="n">
        <x:v>38.3</x:v>
      </x:c>
      <x:c r="M41" s="54" t="n">
        <x:v>14</x:v>
      </x:c>
      <x:c r="N41" s="54" t="n">
        <x:v>7</x:v>
      </x:c>
      <x:c r="O41" s="61" t="str">
        <x:v>Demo reassessment observation</x:v>
      </x:c>
      <x:c r="P41" s="55" t="b">
        <x:v>1</x:v>
      </x:c>
    </x:row>
    <x:row r="42" ht="36" customHeight="1">
      <x:c r="A42" s="54" t="str">
        <x:v>VIT-ENC-HSP-004-008-01</x:v>
      </x:c>
      <x:c r="B42" s="54" t="str">
        <x:v>ENC-HSP-004-008</x:v>
      </x:c>
      <x:c r="C42" s="54" t="n">
        <x:v>1</x:v>
      </x:c>
      <x:c r="D42" s="64" t="n">
        <x:v>46267.42361111111</x:v>
      </x:c>
      <x:c r="E42" s="54" t="str">
        <x:v>HSP-004-N02</x:v>
      </x:c>
      <x:c r="F42" s="54" t="str">
        <x:v>DEMO</x:v>
      </x:c>
      <x:c r="G42" s="54" t="n">
        <x:v>96</x:v>
      </x:c>
      <x:c r="H42" s="54"/>
      <x:c r="I42" s="54"/>
      <x:c r="J42" s="54" t="n">
        <x:v>19</x:v>
      </x:c>
      <x:c r="K42" s="54" t="n">
        <x:v>96</x:v>
      </x:c>
      <x:c r="L42" s="54" t="n">
        <x:v>38</x:v>
      </x:c>
      <x:c r="M42" s="54" t="n">
        <x:v>15</x:v>
      </x:c>
      <x:c r="N42" s="54" t="n">
        <x:v>5</x:v>
      </x:c>
      <x:c r="O42" s="61" t="str">
        <x:v>BP cuff result unavailable; repeat requested</x:v>
      </x:c>
      <x:c r="P42" s="55" t="b">
        <x:v>1</x:v>
      </x:c>
    </x:row>
    <x:row r="43" ht="36" customHeight="1">
      <x:c r="A43" s="54" t="str">
        <x:v>VIT-ENC-HSP-004-008-02</x:v>
      </x:c>
      <x:c r="B43" s="54" t="str">
        <x:v>ENC-HSP-004-008</x:v>
      </x:c>
      <x:c r="C43" s="54" t="n">
        <x:v>2</x:v>
      </x:c>
      <x:c r="D43" s="64" t="n">
        <x:v>46267.4375</x:v>
      </x:c>
      <x:c r="E43" s="54" t="str">
        <x:v>HSP-004-N02</x:v>
      </x:c>
      <x:c r="F43" s="54" t="str">
        <x:v>DEMO</x:v>
      </x:c>
      <x:c r="G43" s="54" t="n">
        <x:v>96</x:v>
      </x:c>
      <x:c r="H43" s="54" t="n">
        <x:v>116</x:v>
      </x:c>
      <x:c r="I43" s="54" t="n">
        <x:v>74</x:v>
      </x:c>
      <x:c r="J43" s="54" t="n">
        <x:v>19</x:v>
      </x:c>
      <x:c r="K43" s="54" t="n">
        <x:v>96</x:v>
      </x:c>
      <x:c r="L43" s="54" t="n">
        <x:v>38</x:v>
      </x:c>
      <x:c r="M43" s="54" t="n">
        <x:v>15</x:v>
      </x:c>
      <x:c r="N43" s="54" t="n">
        <x:v>5</x:v>
      </x:c>
      <x:c r="O43" s="61" t="str">
        <x:v>Demo reassessment observation</x:v>
      </x:c>
      <x:c r="P43" s="55" t="b">
        <x:v>1</x:v>
      </x:c>
    </x:row>
    <x:row r="44" ht="36" customHeight="1">
      <x:c r="A44" s="54" t="str">
        <x:v>VIT-ENC-HSP-004-009-01</x:v>
      </x:c>
      <x:c r="B44" s="54" t="str">
        <x:v>ENC-HSP-004-009</x:v>
      </x:c>
      <x:c r="C44" s="54" t="n">
        <x:v>1</x:v>
      </x:c>
      <x:c r="D44" s="64" t="n">
        <x:v>46267.42847222222</x:v>
      </x:c>
      <x:c r="E44" s="54" t="str">
        <x:v>HSP-004-N03</x:v>
      </x:c>
      <x:c r="F44" s="54" t="str">
        <x:v>DEMO</x:v>
      </x:c>
      <x:c r="G44" s="54" t="n">
        <x:v>97</x:v>
      </x:c>
      <x:c r="H44" s="54" t="n">
        <x:v>118</x:v>
      </x:c>
      <x:c r="I44" s="54" t="n">
        <x:v>77</x:v>
      </x:c>
      <x:c r="J44" s="54" t="n">
        <x:v>19</x:v>
      </x:c>
      <x:c r="K44" s="54" t="n">
        <x:v>96</x:v>
      </x:c>
      <x:c r="L44" s="54" t="n">
        <x:v>38</x:v>
      </x:c>
      <x:c r="M44" s="54" t="n">
        <x:v>15</x:v>
      </x:c>
      <x:c r="N44" s="54" t="n">
        <x:v>5</x:v>
      </x:c>
      <x:c r="O44" s="61" t="str">
        <x:v>Initial demo observation</x:v>
      </x:c>
      <x:c r="P44" s="55" t="b">
        <x:v>1</x:v>
      </x:c>
    </x:row>
    <x:row r="45" ht="36" customHeight="1">
      <x:c r="A45" s="54" t="str">
        <x:v>VIT-ENC-HSP-004-009-02</x:v>
      </x:c>
      <x:c r="B45" s="54" t="str">
        <x:v>ENC-HSP-004-009</x:v>
      </x:c>
      <x:c r="C45" s="54" t="n">
        <x:v>2</x:v>
      </x:c>
      <x:c r="D45" s="64" t="n">
        <x:v>46267.44236111111</x:v>
      </x:c>
      <x:c r="E45" s="54" t="str">
        <x:v>HSP-004-N03</x:v>
      </x:c>
      <x:c r="F45" s="54" t="str">
        <x:v>DEMO</x:v>
      </x:c>
      <x:c r="G45" s="54" t="n">
        <x:v>97</x:v>
      </x:c>
      <x:c r="H45" s="54" t="n">
        <x:v>118</x:v>
      </x:c>
      <x:c r="I45" s="54" t="n">
        <x:v>77</x:v>
      </x:c>
      <x:c r="J45" s="54" t="n">
        <x:v>19</x:v>
      </x:c>
      <x:c r="K45" s="54" t="n">
        <x:v>96</x:v>
      </x:c>
      <x:c r="L45" s="54" t="n">
        <x:v>38</x:v>
      </x:c>
      <x:c r="M45" s="54" t="n">
        <x:v>15</x:v>
      </x:c>
      <x:c r="N45" s="54" t="n">
        <x:v>5</x:v>
      </x:c>
      <x:c r="O45" s="61" t="str">
        <x:v>Demo reassessment observation</x:v>
      </x:c>
      <x:c r="P45" s="55" t="b">
        <x:v>1</x:v>
      </x:c>
    </x:row>
    <x:row r="46" ht="36" customHeight="1">
      <x:c r="A46" s="54" t="str">
        <x:v>VIT-ENC-HSP-004-010-01</x:v>
      </x:c>
      <x:c r="B46" s="54" t="str">
        <x:v>ENC-HSP-004-010</x:v>
      </x:c>
      <x:c r="C46" s="54" t="n">
        <x:v>1</x:v>
      </x:c>
      <x:c r="D46" s="64" t="n">
        <x:v>46267.433333333334</x:v>
      </x:c>
      <x:c r="E46" s="54" t="str">
        <x:v>HSP-004-N01</x:v>
      </x:c>
      <x:c r="F46" s="54" t="str">
        <x:v>DEMO</x:v>
      </x:c>
      <x:c r="G46" s="54" t="n">
        <x:v>114</x:v>
      </x:c>
      <x:c r="H46" s="54" t="n">
        <x:v>103</x:v>
      </x:c>
      <x:c r="I46" s="54" t="n">
        <x:v>65</x:v>
      </x:c>
      <x:c r="J46" s="54" t="n">
        <x:v>24</x:v>
      </x:c>
      <x:c r="K46" s="54" t="n">
        <x:v>93</x:v>
      </x:c>
      <x:c r="L46" s="54" t="n">
        <x:v>38.3</x:v>
      </x:c>
      <x:c r="M46" s="54" t="n">
        <x:v>14</x:v>
      </x:c>
      <x:c r="N46" s="54" t="n">
        <x:v>7</x:v>
      </x:c>
      <x:c r="O46" s="61" t="str">
        <x:v>Initial demo observation</x:v>
      </x:c>
      <x:c r="P46" s="55" t="b">
        <x:v>1</x:v>
      </x:c>
    </x:row>
    <x:row r="47" ht="36" customHeight="1">
      <x:c r="A47" s="56" t="str">
        <x:v>VIT-ENC-HSP-004-010-02</x:v>
      </x:c>
      <x:c r="B47" s="56" t="str">
        <x:v>ENC-HSP-004-010</x:v>
      </x:c>
      <x:c r="C47" s="56" t="n">
        <x:v>2</x:v>
      </x:c>
      <x:c r="D47" s="65" t="n">
        <x:v>46267.447222222225</x:v>
      </x:c>
      <x:c r="E47" s="56" t="str">
        <x:v>HSP-004-N01</x:v>
      </x:c>
      <x:c r="F47" s="56" t="str">
        <x:v>DEMO</x:v>
      </x:c>
      <x:c r="G47" s="56" t="n">
        <x:v>114</x:v>
      </x:c>
      <x:c r="H47" s="56" t="n">
        <x:v>103</x:v>
      </x:c>
      <x:c r="I47" s="56" t="n">
        <x:v>65</x:v>
      </x:c>
      <x:c r="J47" s="56" t="n">
        <x:v>24</x:v>
      </x:c>
      <x:c r="K47" s="56" t="n">
        <x:v>93</x:v>
      </x:c>
      <x:c r="L47" s="56" t="n">
        <x:v>38.3</x:v>
      </x:c>
      <x:c r="M47" s="56" t="n">
        <x:v>14</x:v>
      </x:c>
      <x:c r="N47" s="56" t="n">
        <x:v>7</x:v>
      </x:c>
      <x:c r="O47" s="62" t="str">
        <x:v>Demo reassessment observation</x:v>
      </x:c>
      <x:c r="P47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ce97458c8a14d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38" hidden="0" customWidth="1"/>
    <x:col min="5" max="5" width="16" hidden="0" customWidth="1"/>
  </x:cols>
  <x:sheetData>
    <x:row r="1" ht="34" customHeight="1">
      <x:c r="A1" s="53" t="str">
        <x:v>question_code</x:v>
      </x:c>
      <x:c r="B1" s="53" t="str">
        <x:v>question_category</x:v>
      </x:c>
      <x:c r="C1" s="53" t="str">
        <x:v>answer_type</x:v>
      </x:c>
      <x:c r="D1" s="53" t="str">
        <x:v>question_text</x:v>
      </x:c>
      <x:c r="E1" s="53" t="str">
        <x:v>answer_source</x:v>
      </x:c>
    </x:row>
    <x:row r="2" ht="36" customHeight="1">
      <x:c r="A2" s="54" t="str">
        <x:v>Q-ONSET</x:v>
      </x:c>
      <x:c r="B2" s="54" t="str">
        <x:v>Symptom onset</x:v>
      </x:c>
      <x:c r="C2" s="54" t="str">
        <x:v>TEXT</x:v>
      </x:c>
      <x:c r="D2" s="61" t="str">
        <x:v>When did the current problem begin?</x:v>
      </x:c>
      <x:c r="E2" s="54" t="str">
        <x:v>reported</x:v>
      </x:c>
    </x:row>
    <x:row r="3" ht="36" customHeight="1">
      <x:c r="A3" s="54" t="str">
        <x:v>Q-SEVERITY</x:v>
      </x:c>
      <x:c r="B3" s="54" t="str">
        <x:v>Current severity</x:v>
      </x:c>
      <x:c r="C3" s="54" t="str">
        <x:v>NUMBER_0_10</x:v>
      </x:c>
      <x:c r="D3" s="61" t="str">
        <x:v>How severe is it right now from 0 to 10?</x:v>
      </x:c>
      <x:c r="E3" s="54" t="str">
        <x:v>reported</x:v>
      </x:c>
    </x:row>
    <x:row r="4" ht="36" customHeight="1">
      <x:c r="A4" s="54" t="str">
        <x:v>Q-ASSOCIATED</x:v>
      </x:c>
      <x:c r="B4" s="54" t="str">
        <x:v>Associated symptoms</x:v>
      </x:c>
      <x:c r="C4" s="54" t="str">
        <x:v>TEXT</x:v>
      </x:c>
      <x:c r="D4" s="61" t="str">
        <x:v>What other symptoms are present?</x:v>
      </x:c>
      <x:c r="E4" s="54" t="str">
        <x:v>reported</x:v>
      </x:c>
    </x:row>
    <x:row r="5" ht="36" customHeight="1">
      <x:c r="A5" s="54" t="str">
        <x:v>Q-WORSENING</x:v>
      </x:c>
      <x:c r="B5" s="54" t="str">
        <x:v>Change over time</x:v>
      </x:c>
      <x:c r="C5" s="54" t="str">
        <x:v>BOOLEAN</x:v>
      </x:c>
      <x:c r="D5" s="61" t="str">
        <x:v>Is the problem getting worse?</x:v>
      </x:c>
      <x:c r="E5" s="54" t="str">
        <x:v>reported</x:v>
      </x:c>
    </x:row>
    <x:row r="6" ht="36" customHeight="1">
      <x:c r="A6" s="54" t="str">
        <x:v>Q-MEDICATION</x:v>
      </x:c>
      <x:c r="B6" s="54" t="str">
        <x:v>Medication already taken</x:v>
      </x:c>
      <x:c r="C6" s="54" t="str">
        <x:v>TEXT</x:v>
      </x:c>
      <x:c r="D6" s="61" t="str">
        <x:v>Was any medicine taken for this problem?</x:v>
      </x:c>
      <x:c r="E6" s="54" t="str">
        <x:v>reported</x:v>
      </x:c>
    </x:row>
    <x:row r="7" ht="36" customHeight="1">
      <x:c r="A7" s="56" t="str">
        <x:v>Q-ALLERGY</x:v>
      </x:c>
      <x:c r="B7" s="56" t="str">
        <x:v>Allergy confirmation</x:v>
      </x:c>
      <x:c r="C7" s="56" t="str">
        <x:v>TEXT</x:v>
      </x:c>
      <x:c r="D7" s="62" t="str">
        <x:v>Are there any known medicine allergies?</x:v>
      </x:c>
      <x:c r="E7" s="56" t="str">
        <x:v>reported</x:v>
      </x:c>
    </x:row>
  </x:sheetData>
  <x:pageMargins left="0.7" right="0.7" top="0.75" bottom="0.75" header="0.3" footer="0.3"/>
  <x:tableParts count="1">
    <x:tablePart xmlns:r="http://schemas.openxmlformats.org/officeDocument/2006/relationships" r:id="Rb21d9ec3ffdf4b1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6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34" customHeight="1">
      <x:c r="A1" s="53" t="str">
        <x:v>symptom_interview_id</x:v>
      </x:c>
      <x:c r="B1" s="53" t="str">
        <x:v>encounter_id</x:v>
      </x:c>
      <x:c r="C1" s="53" t="str">
        <x:v>interview_number</x:v>
      </x:c>
      <x:c r="D1" s="53" t="str">
        <x:v>conducted_by_staff_id</x:v>
      </x:c>
      <x:c r="E1" s="53" t="str">
        <x:v>respondent_type</x:v>
      </x:c>
      <x:c r="F1" s="53" t="str">
        <x:v>language_code</x:v>
      </x:c>
      <x:c r="G1" s="53" t="str">
        <x:v>status</x:v>
      </x:c>
      <x:c r="H1" s="63" t="str">
        <x:v>started_at</x:v>
      </x:c>
      <x:c r="I1" s="63" t="str">
        <x:v>completed_at</x:v>
      </x:c>
      <x:c r="J1" s="53" t="str">
        <x:v>notes</x:v>
      </x:c>
    </x:row>
    <x:row r="2" ht="36" customHeight="1">
      <x:c r="A2" s="54" t="str">
        <x:v>INT-ENC-HSP-001-001-01</x:v>
      </x:c>
      <x:c r="B2" s="54" t="str">
        <x:v>ENC-HSP-001-001</x:v>
      </x:c>
      <x:c r="C2" s="54" t="n">
        <x:v>1</x:v>
      </x:c>
      <x:c r="D2" s="54" t="str">
        <x:v>HSP-001-N01</x:v>
      </x:c>
      <x:c r="E2" s="54" t="str">
        <x:v>PATIENT</x:v>
      </x:c>
      <x:c r="F2" s="54" t="str">
        <x:v>en-IN</x:v>
      </x:c>
      <x:c r="G2" s="54" t="str">
        <x:v>COMPLETED</x:v>
      </x:c>
      <x:c r="H2" s="64" t="n">
        <x:v>46267.342361111114</x:v>
      </x:c>
      <x:c r="I2" s="64" t="n">
        <x:v>46267.34652777778</x:v>
      </x:c>
      <x:c r="J2" s="61" t="str">
        <x:v>Synthetic demo interview</x:v>
      </x:c>
    </x:row>
    <x:row r="3" ht="36" customHeight="1">
      <x:c r="A3" s="54" t="str">
        <x:v>INT-ENC-HSP-001-002-01</x:v>
      </x:c>
      <x:c r="B3" s="54" t="str">
        <x:v>ENC-HSP-001-002</x:v>
      </x:c>
      <x:c r="C3" s="54" t="n">
        <x:v>1</x:v>
      </x:c>
      <x:c r="D3" s="54" t="str">
        <x:v>HSP-001-N02</x:v>
      </x:c>
      <x:c r="E3" s="54" t="str">
        <x:v>PATIENT</x:v>
      </x:c>
      <x:c r="F3" s="54" t="str">
        <x:v>en-IN</x:v>
      </x:c>
      <x:c r="G3" s="54" t="str">
        <x:v>COMPLETED</x:v>
      </x:c>
      <x:c r="H3" s="64" t="n">
        <x:v>46267.34722222222</x:v>
      </x:c>
      <x:c r="I3" s="64" t="n">
        <x:v>46267.35138888889</x:v>
      </x:c>
      <x:c r="J3" s="61" t="str">
        <x:v>Synthetic demo interview</x:v>
      </x:c>
    </x:row>
    <x:row r="4" ht="36" customHeight="1">
      <x:c r="A4" s="54" t="str">
        <x:v>INT-ENC-HSP-001-003-01</x:v>
      </x:c>
      <x:c r="B4" s="54" t="str">
        <x:v>ENC-HSP-001-003</x:v>
      </x:c>
      <x:c r="C4" s="54" t="n">
        <x:v>1</x:v>
      </x:c>
      <x:c r="D4" s="54" t="str">
        <x:v>HSP-001-N03</x:v>
      </x:c>
      <x:c r="E4" s="54" t="str">
        <x:v>PATIENT</x:v>
      </x:c>
      <x:c r="F4" s="54" t="str">
        <x:v>en-IN</x:v>
      </x:c>
      <x:c r="G4" s="54" t="str">
        <x:v>COMPLETED</x:v>
      </x:c>
      <x:c r="H4" s="64" t="n">
        <x:v>46267.35208333333</x:v>
      </x:c>
      <x:c r="I4" s="64" t="n">
        <x:v>46267.35625</x:v>
      </x:c>
      <x:c r="J4" s="61" t="str">
        <x:v>Synthetic demo interview</x:v>
      </x:c>
    </x:row>
    <x:row r="5" ht="36" customHeight="1">
      <x:c r="A5" s="54" t="str">
        <x:v>INT-ENC-HSP-001-004-01</x:v>
      </x:c>
      <x:c r="B5" s="54" t="str">
        <x:v>ENC-HSP-001-004</x:v>
      </x:c>
      <x:c r="C5" s="54" t="n">
        <x:v>1</x:v>
      </x:c>
      <x:c r="D5" s="54" t="str">
        <x:v>HSP-001-N01</x:v>
      </x:c>
      <x:c r="E5" s="54" t="str">
        <x:v>PATIENT</x:v>
      </x:c>
      <x:c r="F5" s="54" t="str">
        <x:v>hi-IN</x:v>
      </x:c>
      <x:c r="G5" s="54" t="str">
        <x:v>COMPLETED</x:v>
      </x:c>
      <x:c r="H5" s="64" t="n">
        <x:v>46267.39861111111</x:v>
      </x:c>
      <x:c r="I5" s="64" t="n">
        <x:v>46267.40277777778</x:v>
      </x:c>
      <x:c r="J5" s="61" t="str">
        <x:v>Synthetic demo interview</x:v>
      </x:c>
    </x:row>
    <x:row r="6" ht="36" customHeight="1">
      <x:c r="A6" s="54" t="str">
        <x:v>INT-ENC-HSP-001-005-01</x:v>
      </x:c>
      <x:c r="B6" s="54" t="str">
        <x:v>ENC-HSP-001-005</x:v>
      </x:c>
      <x:c r="C6" s="54" t="n">
        <x:v>1</x:v>
      </x:c>
      <x:c r="D6" s="54" t="str">
        <x:v>HSP-001-N02</x:v>
      </x:c>
      <x:c r="E6" s="54" t="str">
        <x:v>PATIENT</x:v>
      </x:c>
      <x:c r="F6" s="54" t="str">
        <x:v>en-IN</x:v>
      </x:c>
      <x:c r="G6" s="54" t="str">
        <x:v>COMPLETED</x:v>
      </x:c>
      <x:c r="H6" s="64" t="n">
        <x:v>46267.40347222222</x:v>
      </x:c>
      <x:c r="I6" s="64" t="n">
        <x:v>46267.407638888886</x:v>
      </x:c>
      <x:c r="J6" s="61" t="str">
        <x:v>Synthetic demo interview</x:v>
      </x:c>
    </x:row>
    <x:row r="7" ht="36" customHeight="1">
      <x:c r="A7" s="54" t="str">
        <x:v>INT-ENC-HSP-001-006-01</x:v>
      </x:c>
      <x:c r="B7" s="54" t="str">
        <x:v>ENC-HSP-001-006</x:v>
      </x:c>
      <x:c r="C7" s="54" t="n">
        <x:v>1</x:v>
      </x:c>
      <x:c r="D7" s="54" t="str">
        <x:v>HSP-001-N03</x:v>
      </x:c>
      <x:c r="E7" s="54" t="str">
        <x:v>PATIENT</x:v>
      </x:c>
      <x:c r="F7" s="54" t="str">
        <x:v>en-IN</x:v>
      </x:c>
      <x:c r="G7" s="54" t="str">
        <x:v>COMPLETED</x:v>
      </x:c>
      <x:c r="H7" s="64" t="n">
        <x:v>46267.40833333333</x:v>
      </x:c>
      <x:c r="I7" s="64" t="n">
        <x:v>46267.4125</x:v>
      </x:c>
      <x:c r="J7" s="61" t="str">
        <x:v>Synthetic demo interview</x:v>
      </x:c>
    </x:row>
    <x:row r="8" ht="36" customHeight="1">
      <x:c r="A8" s="54" t="str">
        <x:v>INT-ENC-HSP-001-007-01</x:v>
      </x:c>
      <x:c r="B8" s="54" t="str">
        <x:v>ENC-HSP-001-007</x:v>
      </x:c>
      <x:c r="C8" s="54" t="n">
        <x:v>1</x:v>
      </x:c>
      <x:c r="D8" s="54" t="str">
        <x:v>HSP-001-N01</x:v>
      </x:c>
      <x:c r="E8" s="54" t="str">
        <x:v>PATIENT</x:v>
      </x:c>
      <x:c r="F8" s="54" t="str">
        <x:v>en-IN</x:v>
      </x:c>
      <x:c r="G8" s="54" t="str">
        <x:v>COMPLETED</x:v>
      </x:c>
      <x:c r="H8" s="64" t="n">
        <x:v>46267.413194444445</x:v>
      </x:c>
      <x:c r="I8" s="64" t="n">
        <x:v>46267.41736111111</x:v>
      </x:c>
      <x:c r="J8" s="61" t="str">
        <x:v>Synthetic demo interview</x:v>
      </x:c>
    </x:row>
    <x:row r="9" ht="36" customHeight="1">
      <x:c r="A9" s="54" t="str">
        <x:v>INT-ENC-HSP-001-008-01</x:v>
      </x:c>
      <x:c r="B9" s="54" t="str">
        <x:v>ENC-HSP-001-008</x:v>
      </x:c>
      <x:c r="C9" s="54" t="n">
        <x:v>1</x:v>
      </x:c>
      <x:c r="D9" s="54" t="str">
        <x:v>HSP-001-N02</x:v>
      </x:c>
      <x:c r="E9" s="54" t="str">
        <x:v>PATIENT</x:v>
      </x:c>
      <x:c r="F9" s="54" t="str">
        <x:v>hi-IN</x:v>
      </x:c>
      <x:c r="G9" s="54" t="str">
        <x:v>COMPLETED</x:v>
      </x:c>
      <x:c r="H9" s="64" t="n">
        <x:v>46267.45972222222</x:v>
      </x:c>
      <x:c r="I9" s="64" t="n">
        <x:v>46267.46388888889</x:v>
      </x:c>
      <x:c r="J9" s="61" t="str">
        <x:v>Synthetic demo interview</x:v>
      </x:c>
    </x:row>
    <x:row r="10" ht="36" customHeight="1">
      <x:c r="A10" s="54" t="str">
        <x:v>INT-ENC-HSP-001-009-01</x:v>
      </x:c>
      <x:c r="B10" s="54" t="str">
        <x:v>ENC-HSP-001-009</x:v>
      </x:c>
      <x:c r="C10" s="54" t="n">
        <x:v>1</x:v>
      </x:c>
      <x:c r="D10" s="54" t="str">
        <x:v>HSP-001-N03</x:v>
      </x:c>
      <x:c r="E10" s="54" t="str">
        <x:v>PATIENT</x:v>
      </x:c>
      <x:c r="F10" s="54" t="str">
        <x:v>en-IN</x:v>
      </x:c>
      <x:c r="G10" s="54" t="str">
        <x:v>COMPLETED</x:v>
      </x:c>
      <x:c r="H10" s="64" t="n">
        <x:v>46267.42291666667</x:v>
      </x:c>
      <x:c r="I10" s="64" t="n">
        <x:v>46267.427083333336</x:v>
      </x:c>
      <x:c r="J10" s="61" t="str">
        <x:v>Synthetic demo interview</x:v>
      </x:c>
    </x:row>
    <x:row r="11" ht="36" customHeight="1">
      <x:c r="A11" s="54" t="str">
        <x:v>INT-ENC-HSP-001-010-01</x:v>
      </x:c>
      <x:c r="B11" s="54" t="str">
        <x:v>ENC-HSP-001-010</x:v>
      </x:c>
      <x:c r="C11" s="54" t="n">
        <x:v>1</x:v>
      </x:c>
      <x:c r="D11" s="54" t="str">
        <x:v>HSP-001-N01</x:v>
      </x:c>
      <x:c r="E11" s="54" t="str">
        <x:v>PATIENT</x:v>
      </x:c>
      <x:c r="F11" s="54" t="str">
        <x:v>en-IN</x:v>
      </x:c>
      <x:c r="G11" s="54" t="str">
        <x:v>COMPLETED</x:v>
      </x:c>
      <x:c r="H11" s="64" t="n">
        <x:v>46267.427777777775</x:v>
      </x:c>
      <x:c r="I11" s="64" t="n">
        <x:v>46267.43194444444</x:v>
      </x:c>
      <x:c r="J11" s="61" t="str">
        <x:v>Synthetic demo interview</x:v>
      </x:c>
    </x:row>
    <x:row r="12" ht="36" customHeight="1">
      <x:c r="A12" s="54" t="str">
        <x:v>INT-ENC-HSP-002-001-01</x:v>
      </x:c>
      <x:c r="B12" s="54" t="str">
        <x:v>ENC-HSP-002-001</x:v>
      </x:c>
      <x:c r="C12" s="54" t="n">
        <x:v>1</x:v>
      </x:c>
      <x:c r="D12" s="54" t="str">
        <x:v>HSP-002-N01</x:v>
      </x:c>
      <x:c r="E12" s="54" t="str">
        <x:v>PATIENT</x:v>
      </x:c>
      <x:c r="F12" s="54" t="str">
        <x:v>en-IN</x:v>
      </x:c>
      <x:c r="G12" s="54" t="str">
        <x:v>COMPLETED</x:v>
      </x:c>
      <x:c r="H12" s="64" t="n">
        <x:v>46267.34444444445</x:v>
      </x:c>
      <x:c r="I12" s="64" t="n">
        <x:v>46267.34861111111</x:v>
      </x:c>
      <x:c r="J12" s="61" t="str">
        <x:v>Synthetic demo interview</x:v>
      </x:c>
    </x:row>
    <x:row r="13" ht="36" customHeight="1">
      <x:c r="A13" s="54" t="str">
        <x:v>INT-ENC-HSP-002-002-01</x:v>
      </x:c>
      <x:c r="B13" s="54" t="str">
        <x:v>ENC-HSP-002-002</x:v>
      </x:c>
      <x:c r="C13" s="54" t="n">
        <x:v>1</x:v>
      </x:c>
      <x:c r="D13" s="54" t="str">
        <x:v>HSP-002-N02</x:v>
      </x:c>
      <x:c r="E13" s="54" t="str">
        <x:v>PATIENT</x:v>
      </x:c>
      <x:c r="F13" s="54" t="str">
        <x:v>en-IN</x:v>
      </x:c>
      <x:c r="G13" s="54" t="str">
        <x:v>COMPLETED</x:v>
      </x:c>
      <x:c r="H13" s="64" t="n">
        <x:v>46267.34930555556</x:v>
      </x:c>
      <x:c r="I13" s="64" t="n">
        <x:v>46267.353472222225</x:v>
      </x:c>
      <x:c r="J13" s="61" t="str">
        <x:v>Synthetic demo interview</x:v>
      </x:c>
    </x:row>
    <x:row r="14" ht="36" customHeight="1">
      <x:c r="A14" s="54" t="str">
        <x:v>INT-ENC-HSP-002-003-01</x:v>
      </x:c>
      <x:c r="B14" s="54" t="str">
        <x:v>ENC-HSP-002-003</x:v>
      </x:c>
      <x:c r="C14" s="54" t="n">
        <x:v>1</x:v>
      </x:c>
      <x:c r="D14" s="54" t="str">
        <x:v>HSP-002-N03</x:v>
      </x:c>
      <x:c r="E14" s="54" t="str">
        <x:v>PATIENT</x:v>
      </x:c>
      <x:c r="F14" s="54" t="str">
        <x:v>en-IN</x:v>
      </x:c>
      <x:c r="G14" s="54" t="str">
        <x:v>COMPLETED</x:v>
      </x:c>
      <x:c r="H14" s="64" t="n">
        <x:v>46267.354166666664</x:v>
      </x:c>
      <x:c r="I14" s="64" t="n">
        <x:v>46267.35833333333</x:v>
      </x:c>
      <x:c r="J14" s="61" t="str">
        <x:v>Synthetic demo interview</x:v>
      </x:c>
    </x:row>
    <x:row r="15" ht="36" customHeight="1">
      <x:c r="A15" s="54" t="str">
        <x:v>INT-ENC-HSP-002-004-01</x:v>
      </x:c>
      <x:c r="B15" s="54" t="str">
        <x:v>ENC-HSP-002-004</x:v>
      </x:c>
      <x:c r="C15" s="54" t="n">
        <x:v>1</x:v>
      </x:c>
      <x:c r="D15" s="54" t="str">
        <x:v>HSP-002-N01</x:v>
      </x:c>
      <x:c r="E15" s="54" t="str">
        <x:v>PATIENT</x:v>
      </x:c>
      <x:c r="F15" s="54" t="str">
        <x:v>hi-IN</x:v>
      </x:c>
      <x:c r="G15" s="54" t="str">
        <x:v>COMPLETED</x:v>
      </x:c>
      <x:c r="H15" s="64" t="n">
        <x:v>46267.40069444444</x:v>
      </x:c>
      <x:c r="I15" s="64" t="n">
        <x:v>46267.404861111114</x:v>
      </x:c>
      <x:c r="J15" s="61" t="str">
        <x:v>Synthetic demo interview</x:v>
      </x:c>
    </x:row>
    <x:row r="16" ht="36" customHeight="1">
      <x:c r="A16" s="54" t="str">
        <x:v>INT-ENC-HSP-002-005-01</x:v>
      </x:c>
      <x:c r="B16" s="54" t="str">
        <x:v>ENC-HSP-002-005</x:v>
      </x:c>
      <x:c r="C16" s="54" t="n">
        <x:v>1</x:v>
      </x:c>
      <x:c r="D16" s="54" t="str">
        <x:v>HSP-002-N02</x:v>
      </x:c>
      <x:c r="E16" s="54" t="str">
        <x:v>PATIENT</x:v>
      </x:c>
      <x:c r="F16" s="54" t="str">
        <x:v>en-IN</x:v>
      </x:c>
      <x:c r="G16" s="54" t="str">
        <x:v>COMPLETED</x:v>
      </x:c>
      <x:c r="H16" s="64" t="n">
        <x:v>46267.40555555555</x:v>
      </x:c>
      <x:c r="I16" s="64" t="n">
        <x:v>46267.40972222222</x:v>
      </x:c>
      <x:c r="J16" s="61" t="str">
        <x:v>Synthetic demo interview</x:v>
      </x:c>
    </x:row>
    <x:row r="17" ht="36" customHeight="1">
      <x:c r="A17" s="54" t="str">
        <x:v>INT-ENC-HSP-002-006-01</x:v>
      </x:c>
      <x:c r="B17" s="54" t="str">
        <x:v>ENC-HSP-002-006</x:v>
      </x:c>
      <x:c r="C17" s="54" t="n">
        <x:v>1</x:v>
      </x:c>
      <x:c r="D17" s="54" t="str">
        <x:v>HSP-002-N03</x:v>
      </x:c>
      <x:c r="E17" s="54" t="str">
        <x:v>PATIENT</x:v>
      </x:c>
      <x:c r="F17" s="54" t="str">
        <x:v>en-IN</x:v>
      </x:c>
      <x:c r="G17" s="54" t="str">
        <x:v>COMPLETED</x:v>
      </x:c>
      <x:c r="H17" s="64" t="n">
        <x:v>46267.410416666666</x:v>
      </x:c>
      <x:c r="I17" s="64" t="n">
        <x:v>46267.41458333333</x:v>
      </x:c>
      <x:c r="J17" s="61" t="str">
        <x:v>Synthetic demo interview</x:v>
      </x:c>
    </x:row>
    <x:row r="18" ht="36" customHeight="1">
      <x:c r="A18" s="54" t="str">
        <x:v>INT-ENC-HSP-002-007-01</x:v>
      </x:c>
      <x:c r="B18" s="54" t="str">
        <x:v>ENC-HSP-002-007</x:v>
      </x:c>
      <x:c r="C18" s="54" t="n">
        <x:v>1</x:v>
      </x:c>
      <x:c r="D18" s="54" t="str">
        <x:v>HSP-002-N01</x:v>
      </x:c>
      <x:c r="E18" s="54" t="str">
        <x:v>PATIENT</x:v>
      </x:c>
      <x:c r="F18" s="54" t="str">
        <x:v>en-IN</x:v>
      </x:c>
      <x:c r="G18" s="54" t="str">
        <x:v>COMPLETED</x:v>
      </x:c>
      <x:c r="H18" s="64" t="n">
        <x:v>46267.41527777778</x:v>
      </x:c>
      <x:c r="I18" s="64" t="n">
        <x:v>46267.419444444444</x:v>
      </x:c>
      <x:c r="J18" s="61" t="str">
        <x:v>Synthetic demo interview</x:v>
      </x:c>
    </x:row>
    <x:row r="19" ht="36" customHeight="1">
      <x:c r="A19" s="54" t="str">
        <x:v>INT-ENC-HSP-002-008-01</x:v>
      </x:c>
      <x:c r="B19" s="54" t="str">
        <x:v>ENC-HSP-002-008</x:v>
      </x:c>
      <x:c r="C19" s="54" t="n">
        <x:v>1</x:v>
      </x:c>
      <x:c r="D19" s="54" t="str">
        <x:v>HSP-002-N02</x:v>
      </x:c>
      <x:c r="E19" s="54" t="str">
        <x:v>PATIENT</x:v>
      </x:c>
      <x:c r="F19" s="54" t="str">
        <x:v>hi-IN</x:v>
      </x:c>
      <x:c r="G19" s="54" t="str">
        <x:v>COMPLETED</x:v>
      </x:c>
      <x:c r="H19" s="64" t="n">
        <x:v>46267.461805555555</x:v>
      </x:c>
      <x:c r="I19" s="64" t="n">
        <x:v>46267.46597222222</x:v>
      </x:c>
      <x:c r="J19" s="61" t="str">
        <x:v>Synthetic demo interview</x:v>
      </x:c>
    </x:row>
    <x:row r="20" ht="36" customHeight="1">
      <x:c r="A20" s="54" t="str">
        <x:v>INT-ENC-HSP-002-009-01</x:v>
      </x:c>
      <x:c r="B20" s="54" t="str">
        <x:v>ENC-HSP-002-009</x:v>
      </x:c>
      <x:c r="C20" s="54" t="n">
        <x:v>1</x:v>
      </x:c>
      <x:c r="D20" s="54" t="str">
        <x:v>HSP-002-N03</x:v>
      </x:c>
      <x:c r="E20" s="54" t="str">
        <x:v>PATIENT</x:v>
      </x:c>
      <x:c r="F20" s="54" t="str">
        <x:v>en-IN</x:v>
      </x:c>
      <x:c r="G20" s="54" t="str">
        <x:v>COMPLETED</x:v>
      </x:c>
      <x:c r="H20" s="64" t="n">
        <x:v>46267.425</x:v>
      </x:c>
      <x:c r="I20" s="64" t="n">
        <x:v>46267.42916666667</x:v>
      </x:c>
      <x:c r="J20" s="61" t="str">
        <x:v>Synthetic demo interview</x:v>
      </x:c>
    </x:row>
    <x:row r="21" ht="36" customHeight="1">
      <x:c r="A21" s="54" t="str">
        <x:v>INT-ENC-HSP-002-010-01</x:v>
      </x:c>
      <x:c r="B21" s="54" t="str">
        <x:v>ENC-HSP-002-010</x:v>
      </x:c>
      <x:c r="C21" s="54" t="n">
        <x:v>1</x:v>
      </x:c>
      <x:c r="D21" s="54" t="str">
        <x:v>HSP-002-N01</x:v>
      </x:c>
      <x:c r="E21" s="54" t="str">
        <x:v>PATIENT</x:v>
      </x:c>
      <x:c r="F21" s="54" t="str">
        <x:v>en-IN</x:v>
      </x:c>
      <x:c r="G21" s="54" t="str">
        <x:v>COMPLETED</x:v>
      </x:c>
      <x:c r="H21" s="64" t="n">
        <x:v>46267.42986111111</x:v>
      </x:c>
      <x:c r="I21" s="64" t="n">
        <x:v>46267.43402777778</x:v>
      </x:c>
      <x:c r="J21" s="61" t="str">
        <x:v>Synthetic demo interview</x:v>
      </x:c>
    </x:row>
    <x:row r="22" ht="36" customHeight="1">
      <x:c r="A22" s="54" t="str">
        <x:v>INT-ENC-HSP-003-001-01</x:v>
      </x:c>
      <x:c r="B22" s="54" t="str">
        <x:v>ENC-HSP-003-001</x:v>
      </x:c>
      <x:c r="C22" s="54" t="n">
        <x:v>1</x:v>
      </x:c>
      <x:c r="D22" s="54" t="str">
        <x:v>HSP-003-N01</x:v>
      </x:c>
      <x:c r="E22" s="54" t="str">
        <x:v>PATIENT</x:v>
      </x:c>
      <x:c r="F22" s="54" t="str">
        <x:v>en-IN</x:v>
      </x:c>
      <x:c r="G22" s="54" t="str">
        <x:v>COMPLETED</x:v>
      </x:c>
      <x:c r="H22" s="64" t="n">
        <x:v>46267.34652777778</x:v>
      </x:c>
      <x:c r="I22" s="64" t="n">
        <x:v>46267.350694444445</x:v>
      </x:c>
      <x:c r="J22" s="61" t="str">
        <x:v>Synthetic demo interview</x:v>
      </x:c>
    </x:row>
    <x:row r="23" ht="36" customHeight="1">
      <x:c r="A23" s="54" t="str">
        <x:v>INT-ENC-HSP-003-002-01</x:v>
      </x:c>
      <x:c r="B23" s="54" t="str">
        <x:v>ENC-HSP-003-002</x:v>
      </x:c>
      <x:c r="C23" s="54" t="n">
        <x:v>1</x:v>
      </x:c>
      <x:c r="D23" s="54" t="str">
        <x:v>HSP-003-N02</x:v>
      </x:c>
      <x:c r="E23" s="54" t="str">
        <x:v>PATIENT</x:v>
      </x:c>
      <x:c r="F23" s="54" t="str">
        <x:v>en-IN</x:v>
      </x:c>
      <x:c r="G23" s="54" t="str">
        <x:v>COMPLETED</x:v>
      </x:c>
      <x:c r="H23" s="64" t="n">
        <x:v>46267.35138888889</x:v>
      </x:c>
      <x:c r="I23" s="64" t="n">
        <x:v>46267.35555555556</x:v>
      </x:c>
      <x:c r="J23" s="61" t="str">
        <x:v>Synthetic demo interview</x:v>
      </x:c>
    </x:row>
    <x:row r="24" ht="36" customHeight="1">
      <x:c r="A24" s="54" t="str">
        <x:v>INT-ENC-HSP-003-003-01</x:v>
      </x:c>
      <x:c r="B24" s="54" t="str">
        <x:v>ENC-HSP-003-003</x:v>
      </x:c>
      <x:c r="C24" s="54" t="n">
        <x:v>1</x:v>
      </x:c>
      <x:c r="D24" s="54" t="str">
        <x:v>HSP-003-N03</x:v>
      </x:c>
      <x:c r="E24" s="54" t="str">
        <x:v>PATIENT</x:v>
      </x:c>
      <x:c r="F24" s="54" t="str">
        <x:v>en-IN</x:v>
      </x:c>
      <x:c r="G24" s="54" t="str">
        <x:v>COMPLETED</x:v>
      </x:c>
      <x:c r="H24" s="64" t="n">
        <x:v>46267.35625</x:v>
      </x:c>
      <x:c r="I24" s="64" t="n">
        <x:v>46267.36041666667</x:v>
      </x:c>
      <x:c r="J24" s="61" t="str">
        <x:v>Synthetic demo interview</x:v>
      </x:c>
    </x:row>
    <x:row r="25" ht="36" customHeight="1">
      <x:c r="A25" s="54" t="str">
        <x:v>INT-ENC-HSP-003-004-01</x:v>
      </x:c>
      <x:c r="B25" s="54" t="str">
        <x:v>ENC-HSP-003-004</x:v>
      </x:c>
      <x:c r="C25" s="54" t="n">
        <x:v>1</x:v>
      </x:c>
      <x:c r="D25" s="54" t="str">
        <x:v>HSP-003-N01</x:v>
      </x:c>
      <x:c r="E25" s="54" t="str">
        <x:v>PATIENT</x:v>
      </x:c>
      <x:c r="F25" s="54" t="str">
        <x:v>hi-IN</x:v>
      </x:c>
      <x:c r="G25" s="54" t="str">
        <x:v>COMPLETED</x:v>
      </x:c>
      <x:c r="H25" s="64" t="n">
        <x:v>46267.40277777778</x:v>
      </x:c>
      <x:c r="I25" s="64" t="n">
        <x:v>46267.40694444445</x:v>
      </x:c>
      <x:c r="J25" s="61" t="str">
        <x:v>Synthetic demo interview</x:v>
      </x:c>
    </x:row>
    <x:row r="26" ht="36" customHeight="1">
      <x:c r="A26" s="54" t="str">
        <x:v>INT-ENC-HSP-003-005-01</x:v>
      </x:c>
      <x:c r="B26" s="54" t="str">
        <x:v>ENC-HSP-003-005</x:v>
      </x:c>
      <x:c r="C26" s="54" t="n">
        <x:v>1</x:v>
      </x:c>
      <x:c r="D26" s="54" t="str">
        <x:v>HSP-003-N02</x:v>
      </x:c>
      <x:c r="E26" s="54" t="str">
        <x:v>PATIENT</x:v>
      </x:c>
      <x:c r="F26" s="54" t="str">
        <x:v>en-IN</x:v>
      </x:c>
      <x:c r="G26" s="54" t="str">
        <x:v>COMPLETED</x:v>
      </x:c>
      <x:c r="H26" s="64" t="n">
        <x:v>46267.407638888886</x:v>
      </x:c>
      <x:c r="I26" s="64" t="n">
        <x:v>46267.41180555556</x:v>
      </x:c>
      <x:c r="J26" s="61" t="str">
        <x:v>Synthetic demo interview</x:v>
      </x:c>
    </x:row>
    <x:row r="27" ht="36" customHeight="1">
      <x:c r="A27" s="54" t="str">
        <x:v>INT-ENC-HSP-003-006-01</x:v>
      </x:c>
      <x:c r="B27" s="54" t="str">
        <x:v>ENC-HSP-003-006</x:v>
      </x:c>
      <x:c r="C27" s="54" t="n">
        <x:v>1</x:v>
      </x:c>
      <x:c r="D27" s="54" t="str">
        <x:v>HSP-003-N03</x:v>
      </x:c>
      <x:c r="E27" s="54" t="str">
        <x:v>PATIENT</x:v>
      </x:c>
      <x:c r="F27" s="54" t="str">
        <x:v>en-IN</x:v>
      </x:c>
      <x:c r="G27" s="54" t="str">
        <x:v>COMPLETED</x:v>
      </x:c>
      <x:c r="H27" s="64" t="n">
        <x:v>46267.4125</x:v>
      </x:c>
      <x:c r="I27" s="64" t="n">
        <x:v>46267.416666666664</x:v>
      </x:c>
      <x:c r="J27" s="61" t="str">
        <x:v>Synthetic demo interview</x:v>
      </x:c>
    </x:row>
    <x:row r="28" ht="36" customHeight="1">
      <x:c r="A28" s="54" t="str">
        <x:v>INT-ENC-HSP-003-007-01</x:v>
      </x:c>
      <x:c r="B28" s="54" t="str">
        <x:v>ENC-HSP-003-007</x:v>
      </x:c>
      <x:c r="C28" s="54" t="n">
        <x:v>1</x:v>
      </x:c>
      <x:c r="D28" s="54" t="str">
        <x:v>HSP-003-N01</x:v>
      </x:c>
      <x:c r="E28" s="54" t="str">
        <x:v>PATIENT</x:v>
      </x:c>
      <x:c r="F28" s="54" t="str">
        <x:v>en-IN</x:v>
      </x:c>
      <x:c r="G28" s="54" t="str">
        <x:v>COMPLETED</x:v>
      </x:c>
      <x:c r="H28" s="64" t="n">
        <x:v>46267.41736111111</x:v>
      </x:c>
      <x:c r="I28" s="64" t="n">
        <x:v>46267.42152777778</x:v>
      </x:c>
      <x:c r="J28" s="61" t="str">
        <x:v>Synthetic demo interview</x:v>
      </x:c>
    </x:row>
    <x:row r="29" ht="36" customHeight="1">
      <x:c r="A29" s="54" t="str">
        <x:v>INT-ENC-HSP-003-008-01</x:v>
      </x:c>
      <x:c r="B29" s="54" t="str">
        <x:v>ENC-HSP-003-008</x:v>
      </x:c>
      <x:c r="C29" s="54" t="n">
        <x:v>1</x:v>
      </x:c>
      <x:c r="D29" s="54" t="str">
        <x:v>HSP-003-N02</x:v>
      </x:c>
      <x:c r="E29" s="54" t="str">
        <x:v>PATIENT</x:v>
      </x:c>
      <x:c r="F29" s="54" t="str">
        <x:v>hi-IN</x:v>
      </x:c>
      <x:c r="G29" s="54" t="str">
        <x:v>COMPLETED</x:v>
      </x:c>
      <x:c r="H29" s="64" t="n">
        <x:v>46267.42222222222</x:v>
      </x:c>
      <x:c r="I29" s="64" t="n">
        <x:v>46267.42638888889</x:v>
      </x:c>
      <x:c r="J29" s="61" t="str">
        <x:v>Synthetic demo interview</x:v>
      </x:c>
    </x:row>
    <x:row r="30" ht="36" customHeight="1">
      <x:c r="A30" s="54" t="str">
        <x:v>INT-ENC-HSP-003-009-01</x:v>
      </x:c>
      <x:c r="B30" s="54" t="str">
        <x:v>ENC-HSP-003-009</x:v>
      </x:c>
      <x:c r="C30" s="54" t="n">
        <x:v>1</x:v>
      </x:c>
      <x:c r="D30" s="54" t="str">
        <x:v>HSP-003-N03</x:v>
      </x:c>
      <x:c r="E30" s="54" t="str">
        <x:v>PATIENT</x:v>
      </x:c>
      <x:c r="F30" s="54" t="str">
        <x:v>en-IN</x:v>
      </x:c>
      <x:c r="G30" s="54" t="str">
        <x:v>COMPLETED</x:v>
      </x:c>
      <x:c r="H30" s="64" t="n">
        <x:v>46267.427083333336</x:v>
      </x:c>
      <x:c r="I30" s="64" t="n">
        <x:v>46267.43125</x:v>
      </x:c>
      <x:c r="J30" s="61" t="str">
        <x:v>Synthetic demo interview</x:v>
      </x:c>
    </x:row>
    <x:row r="31" ht="36" customHeight="1">
      <x:c r="A31" s="54" t="str">
        <x:v>INT-ENC-HSP-003-010-01</x:v>
      </x:c>
      <x:c r="B31" s="54" t="str">
        <x:v>ENC-HSP-003-010</x:v>
      </x:c>
      <x:c r="C31" s="54" t="n">
        <x:v>1</x:v>
      </x:c>
      <x:c r="D31" s="54" t="str">
        <x:v>HSP-003-N01</x:v>
      </x:c>
      <x:c r="E31" s="54" t="str">
        <x:v>PATIENT</x:v>
      </x:c>
      <x:c r="F31" s="54" t="str">
        <x:v>en-IN</x:v>
      </x:c>
      <x:c r="G31" s="54" t="str">
        <x:v>COMPLETED</x:v>
      </x:c>
      <x:c r="H31" s="64" t="n">
        <x:v>46267.43194444444</x:v>
      </x:c>
      <x:c r="I31" s="64" t="n">
        <x:v>46267.436111111114</x:v>
      </x:c>
      <x:c r="J31" s="61" t="str">
        <x:v>Synthetic demo interview</x:v>
      </x:c>
    </x:row>
    <x:row r="32" ht="36" customHeight="1">
      <x:c r="A32" s="54" t="str">
        <x:v>INT-ENC-HSP-004-001-01</x:v>
      </x:c>
      <x:c r="B32" s="54" t="str">
        <x:v>ENC-HSP-004-001</x:v>
      </x:c>
      <x:c r="C32" s="54" t="n">
        <x:v>1</x:v>
      </x:c>
      <x:c r="D32" s="54" t="str">
        <x:v>HSP-004-N01</x:v>
      </x:c>
      <x:c r="E32" s="54" t="str">
        <x:v>PATIENT</x:v>
      </x:c>
      <x:c r="F32" s="54" t="str">
        <x:v>en-IN</x:v>
      </x:c>
      <x:c r="G32" s="54" t="str">
        <x:v>COMPLETED</x:v>
      </x:c>
      <x:c r="H32" s="64" t="n">
        <x:v>46267.34861111111</x:v>
      </x:c>
      <x:c r="I32" s="64" t="n">
        <x:v>46267.35277777778</x:v>
      </x:c>
      <x:c r="J32" s="61" t="str">
        <x:v>Synthetic demo interview</x:v>
      </x:c>
    </x:row>
    <x:row r="33" ht="36" customHeight="1">
      <x:c r="A33" s="54" t="str">
        <x:v>INT-ENC-HSP-004-002-01</x:v>
      </x:c>
      <x:c r="B33" s="54" t="str">
        <x:v>ENC-HSP-004-002</x:v>
      </x:c>
      <x:c r="C33" s="54" t="n">
        <x:v>1</x:v>
      </x:c>
      <x:c r="D33" s="54" t="str">
        <x:v>HSP-004-N02</x:v>
      </x:c>
      <x:c r="E33" s="54" t="str">
        <x:v>PATIENT</x:v>
      </x:c>
      <x:c r="F33" s="54" t="str">
        <x:v>en-IN</x:v>
      </x:c>
      <x:c r="G33" s="54" t="str">
        <x:v>COMPLETED</x:v>
      </x:c>
      <x:c r="H33" s="64" t="n">
        <x:v>46267.353472222225</x:v>
      </x:c>
      <x:c r="I33" s="64" t="n">
        <x:v>46267.35763888889</x:v>
      </x:c>
      <x:c r="J33" s="61" t="str">
        <x:v>Synthetic demo interview</x:v>
      </x:c>
    </x:row>
    <x:row r="34" ht="36" customHeight="1">
      <x:c r="A34" s="54" t="str">
        <x:v>INT-ENC-HSP-004-003-01</x:v>
      </x:c>
      <x:c r="B34" s="54" t="str">
        <x:v>ENC-HSP-004-003</x:v>
      </x:c>
      <x:c r="C34" s="54" t="n">
        <x:v>1</x:v>
      </x:c>
      <x:c r="D34" s="54" t="str">
        <x:v>HSP-004-N03</x:v>
      </x:c>
      <x:c r="E34" s="54" t="str">
        <x:v>PATIENT</x:v>
      </x:c>
      <x:c r="F34" s="54" t="str">
        <x:v>en-IN</x:v>
      </x:c>
      <x:c r="G34" s="54" t="str">
        <x:v>COMPLETED</x:v>
      </x:c>
      <x:c r="H34" s="64" t="n">
        <x:v>46267.35833333333</x:v>
      </x:c>
      <x:c r="I34" s="64" t="n">
        <x:v>46267.3625</x:v>
      </x:c>
      <x:c r="J34" s="61" t="str">
        <x:v>Synthetic demo interview</x:v>
      </x:c>
    </x:row>
    <x:row r="35" ht="36" customHeight="1">
      <x:c r="A35" s="54" t="str">
        <x:v>INT-ENC-HSP-004-004-01</x:v>
      </x:c>
      <x:c r="B35" s="54" t="str">
        <x:v>ENC-HSP-004-004</x:v>
      </x:c>
      <x:c r="C35" s="54" t="n">
        <x:v>1</x:v>
      </x:c>
      <x:c r="D35" s="54" t="str">
        <x:v>HSP-004-N01</x:v>
      </x:c>
      <x:c r="E35" s="54" t="str">
        <x:v>PATIENT</x:v>
      </x:c>
      <x:c r="F35" s="54" t="str">
        <x:v>hi-IN</x:v>
      </x:c>
      <x:c r="G35" s="54" t="str">
        <x:v>COMPLETED</x:v>
      </x:c>
      <x:c r="H35" s="64" t="n">
        <x:v>46267.404861111114</x:v>
      </x:c>
      <x:c r="I35" s="64" t="n">
        <x:v>46267.40902777778</x:v>
      </x:c>
      <x:c r="J35" s="61" t="str">
        <x:v>Synthetic demo interview</x:v>
      </x:c>
    </x:row>
    <x:row r="36" ht="36" customHeight="1">
      <x:c r="A36" s="54" t="str">
        <x:v>INT-ENC-HSP-004-005-01</x:v>
      </x:c>
      <x:c r="B36" s="54" t="str">
        <x:v>ENC-HSP-004-005</x:v>
      </x:c>
      <x:c r="C36" s="54" t="n">
        <x:v>1</x:v>
      </x:c>
      <x:c r="D36" s="54" t="str">
        <x:v>HSP-004-N02</x:v>
      </x:c>
      <x:c r="E36" s="54" t="str">
        <x:v>PATIENT</x:v>
      </x:c>
      <x:c r="F36" s="54" t="str">
        <x:v>en-IN</x:v>
      </x:c>
      <x:c r="G36" s="54" t="str">
        <x:v>COMPLETED</x:v>
      </x:c>
      <x:c r="H36" s="64" t="n">
        <x:v>46267.40972222222</x:v>
      </x:c>
      <x:c r="I36" s="64" t="n">
        <x:v>46267.41388888889</x:v>
      </x:c>
      <x:c r="J36" s="61" t="str">
        <x:v>Some responses supplied by caregiver</x:v>
      </x:c>
    </x:row>
    <x:row r="37" ht="36" customHeight="1">
      <x:c r="A37" s="54" t="str">
        <x:v>INT-ENC-HSP-004-006-01</x:v>
      </x:c>
      <x:c r="B37" s="54" t="str">
        <x:v>ENC-HSP-004-006</x:v>
      </x:c>
      <x:c r="C37" s="54" t="n">
        <x:v>1</x:v>
      </x:c>
      <x:c r="D37" s="54" t="str">
        <x:v>HSP-004-N03</x:v>
      </x:c>
      <x:c r="E37" s="54" t="str">
        <x:v>PATIENT</x:v>
      </x:c>
      <x:c r="F37" s="54" t="str">
        <x:v>en-IN</x:v>
      </x:c>
      <x:c r="G37" s="54" t="str">
        <x:v>COMPLETED</x:v>
      </x:c>
      <x:c r="H37" s="64" t="n">
        <x:v>46267.41458333333</x:v>
      </x:c>
      <x:c r="I37" s="64" t="n">
        <x:v>46267.41875</x:v>
      </x:c>
      <x:c r="J37" s="61" t="str">
        <x:v>Synthetic demo interview</x:v>
      </x:c>
    </x:row>
    <x:row r="38" ht="36" customHeight="1">
      <x:c r="A38" s="54" t="str">
        <x:v>INT-ENC-HSP-004-007-01</x:v>
      </x:c>
      <x:c r="B38" s="54" t="str">
        <x:v>ENC-HSP-004-007</x:v>
      </x:c>
      <x:c r="C38" s="54" t="n">
        <x:v>1</x:v>
      </x:c>
      <x:c r="D38" s="54" t="str">
        <x:v>HSP-004-N01</x:v>
      </x:c>
      <x:c r="E38" s="54" t="str">
        <x:v>PATIENT</x:v>
      </x:c>
      <x:c r="F38" s="54" t="str">
        <x:v>en-IN</x:v>
      </x:c>
      <x:c r="G38" s="54" t="str">
        <x:v>COMPLETED</x:v>
      </x:c>
      <x:c r="H38" s="64" t="n">
        <x:v>46267.419444444444</x:v>
      </x:c>
      <x:c r="I38" s="64" t="n">
        <x:v>46267.42361111111</x:v>
      </x:c>
      <x:c r="J38" s="61" t="str">
        <x:v>Synthetic demo interview</x:v>
      </x:c>
    </x:row>
    <x:row r="39" ht="36" customHeight="1">
      <x:c r="A39" s="54" t="str">
        <x:v>INT-ENC-HSP-004-008-01</x:v>
      </x:c>
      <x:c r="B39" s="54" t="str">
        <x:v>ENC-HSP-004-008</x:v>
      </x:c>
      <x:c r="C39" s="54" t="n">
        <x:v>1</x:v>
      </x:c>
      <x:c r="D39" s="54" t="str">
        <x:v>HSP-004-N02</x:v>
      </x:c>
      <x:c r="E39" s="54" t="str">
        <x:v>PATIENT</x:v>
      </x:c>
      <x:c r="F39" s="54" t="str">
        <x:v>hi-IN</x:v>
      </x:c>
      <x:c r="G39" s="54" t="str">
        <x:v>COMPLETED</x:v>
      </x:c>
      <x:c r="H39" s="64" t="n">
        <x:v>46267.424305555556</x:v>
      </x:c>
      <x:c r="I39" s="64" t="n">
        <x:v>46267.42847222222</x:v>
      </x:c>
      <x:c r="J39" s="61" t="str">
        <x:v>Synthetic demo interview</x:v>
      </x:c>
    </x:row>
    <x:row r="40" ht="36" customHeight="1">
      <x:c r="A40" s="54" t="str">
        <x:v>INT-ENC-HSP-004-009-01</x:v>
      </x:c>
      <x:c r="B40" s="54" t="str">
        <x:v>ENC-HSP-004-009</x:v>
      </x:c>
      <x:c r="C40" s="54" t="n">
        <x:v>1</x:v>
      </x:c>
      <x:c r="D40" s="54" t="str">
        <x:v>HSP-004-N03</x:v>
      </x:c>
      <x:c r="E40" s="54" t="str">
        <x:v>PATIENT</x:v>
      </x:c>
      <x:c r="F40" s="54" t="str">
        <x:v>en-IN</x:v>
      </x:c>
      <x:c r="G40" s="54" t="str">
        <x:v>COMPLETED</x:v>
      </x:c>
      <x:c r="H40" s="64" t="n">
        <x:v>46267.42916666667</x:v>
      </x:c>
      <x:c r="I40" s="64" t="n">
        <x:v>46267.433333333334</x:v>
      </x:c>
      <x:c r="J40" s="61" t="str">
        <x:v>Synthetic demo interview</x:v>
      </x:c>
    </x:row>
    <x:row r="41" ht="36" customHeight="1">
      <x:c r="A41" s="56" t="str">
        <x:v>INT-ENC-HSP-004-010-01</x:v>
      </x:c>
      <x:c r="B41" s="56" t="str">
        <x:v>ENC-HSP-004-010</x:v>
      </x:c>
      <x:c r="C41" s="56" t="n">
        <x:v>1</x:v>
      </x:c>
      <x:c r="D41" s="56" t="str">
        <x:v>HSP-004-N01</x:v>
      </x:c>
      <x:c r="E41" s="56" t="str">
        <x:v>PATIENT</x:v>
      </x:c>
      <x:c r="F41" s="56" t="str">
        <x:v>en-IN</x:v>
      </x:c>
      <x:c r="G41" s="56" t="str">
        <x:v>COMPLETED</x:v>
      </x:c>
      <x:c r="H41" s="65" t="n">
        <x:v>46267.43402777778</x:v>
      </x:c>
      <x:c r="I41" s="65" t="n">
        <x:v>46267.43819444445</x:v>
      </x:c>
      <x:c r="J41" s="62" t="str">
        <x:v>Synthetic demo interview</x:v>
      </x:c>
    </x:row>
  </x:sheetData>
  <x:pageMargins left="0.7" right="0.7" top="0.75" bottom="0.75" header="0.3" footer="0.3"/>
  <x:tableParts count="1">
    <x:tablePart xmlns:r="http://schemas.openxmlformats.org/officeDocument/2006/relationships" r:id="R2f830232a19e47a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8" hidden="0" customWidth="1"/>
    <x:col min="5" max="5" width="28" hidden="0" customWidth="1"/>
    <x:col min="6" max="6" width="16" hidden="0" customWidth="1"/>
    <x:col min="7" max="7" width="16" hidden="0" customWidth="1"/>
    <x:col min="8" max="8" width="38" hidden="0" customWidth="1"/>
  </x:cols>
  <x:sheetData>
    <x:row r="1" ht="34" customHeight="1">
      <x:c r="A1" s="53" t="str">
        <x:v>symptom_response_id</x:v>
      </x:c>
      <x:c r="B1" s="53" t="str">
        <x:v>symptom_interview_id</x:v>
      </x:c>
      <x:c r="C1" s="53" t="str">
        <x:v>question_code</x:v>
      </x:c>
      <x:c r="D1" s="53" t="str">
        <x:v>question_text_snapshot</x:v>
      </x:c>
      <x:c r="E1" s="53" t="str">
        <x:v>answer_value</x:v>
      </x:c>
      <x:c r="F1" s="53" t="str">
        <x:v>answer_source</x:v>
      </x:c>
      <x:c r="G1" s="63" t="str">
        <x:v>answered_at</x:v>
      </x:c>
      <x:c r="H1" s="53" t="str">
        <x:v>notes</x:v>
      </x:c>
    </x:row>
    <x:row r="2" ht="36" customHeight="1">
      <x:c r="A2" s="54" t="str">
        <x:v>RESP-ENC-HSP-001-001-01</x:v>
      </x:c>
      <x:c r="B2" s="54" t="str">
        <x:v>INT-ENC-HSP-001-001-01</x:v>
      </x:c>
      <x:c r="C2" s="54" t="str">
        <x:v>Q-ONSET</x:v>
      </x:c>
      <x:c r="D2" s="61" t="str">
        <x:v>When did the current problem begin?</x:v>
      </x:c>
      <x:c r="E2" s="54" t="str">
        <x:v>Within the last 24 hours</x:v>
      </x:c>
      <x:c r="F2" s="54" t="str">
        <x:v>REPORTED</x:v>
      </x:c>
      <x:c r="G2" s="64" t="n">
        <x:v>46267.34305555555</x:v>
      </x:c>
      <x:c r="H2" s="61" t="str">
        <x:v>Synthetic response</x:v>
      </x:c>
    </x:row>
    <x:row r="3" ht="36" customHeight="1">
      <x:c r="A3" s="54" t="str">
        <x:v>RESP-ENC-HSP-001-001-02</x:v>
      </x:c>
      <x:c r="B3" s="54" t="str">
        <x:v>INT-ENC-HSP-001-001-01</x:v>
      </x:c>
      <x:c r="C3" s="54" t="str">
        <x:v>Q-SEVERITY</x:v>
      </x:c>
      <x:c r="D3" s="61" t="str">
        <x:v>How severe is it right now from 0 to 10?</x:v>
      </x:c>
      <x:c r="E3" s="54" t="str">
        <x:v>9</x:v>
      </x:c>
      <x:c r="F3" s="54" t="str">
        <x:v>REPORTED</x:v>
      </x:c>
      <x:c r="G3" s="64" t="n">
        <x:v>46267.34375</x:v>
      </x:c>
      <x:c r="H3" s="61" t="str">
        <x:v>Synthetic response</x:v>
      </x:c>
    </x:row>
    <x:row r="4" ht="36" customHeight="1">
      <x:c r="A4" s="54" t="str">
        <x:v>RESP-ENC-HSP-001-001-03</x:v>
      </x:c>
      <x:c r="B4" s="54" t="str">
        <x:v>INT-ENC-HSP-001-001-01</x:v>
      </x:c>
      <x:c r="C4" s="54" t="str">
        <x:v>Q-ASSOCIATED</x:v>
      </x:c>
      <x:c r="D4" s="61" t="str">
        <x:v>What other symptoms are present?</x:v>
      </x:c>
      <x:c r="E4" s="54" t="str">
        <x:v>No additional symptom volunteered</x:v>
      </x:c>
      <x:c r="F4" s="54" t="str">
        <x:v>REPORTED</x:v>
      </x:c>
      <x:c r="G4" s="64" t="n">
        <x:v>46267.34444444445</x:v>
      </x:c>
      <x:c r="H4" s="61" t="str">
        <x:v>Synthetic response</x:v>
      </x:c>
    </x:row>
    <x:row r="5" ht="36" customHeight="1">
      <x:c r="A5" s="54" t="str">
        <x:v>RESP-ENC-HSP-001-001-04</x:v>
      </x:c>
      <x:c r="B5" s="54" t="str">
        <x:v>INT-ENC-HSP-001-001-01</x:v>
      </x:c>
      <x:c r="C5" s="54" t="str">
        <x:v>Q-WORSENING</x:v>
      </x:c>
      <x:c r="D5" s="61" t="str">
        <x:v>Is the problem getting worse?</x:v>
      </x:c>
      <x:c r="E5" s="54" t="str">
        <x:v>Yes</x:v>
      </x:c>
      <x:c r="F5" s="54" t="str">
        <x:v>REPORTED</x:v>
      </x:c>
      <x:c r="G5" s="64" t="n">
        <x:v>46267.345138888886</x:v>
      </x:c>
      <x:c r="H5" s="61" t="str">
        <x:v>Synthetic response</x:v>
      </x:c>
    </x:row>
    <x:row r="6" ht="36" customHeight="1">
      <x:c r="A6" s="54" t="str">
        <x:v>RESP-ENC-HSP-001-001-05</x:v>
      </x:c>
      <x:c r="B6" s="54" t="str">
        <x:v>INT-ENC-HSP-001-001-01</x:v>
      </x:c>
      <x:c r="C6" s="54" t="str">
        <x:v>Q-MEDICATION</x:v>
      </x:c>
      <x:c r="D6" s="61" t="str">
        <x:v>Was any medicine taken for this problem?</x:v>
      </x:c>
      <x:c r="E6" s="54" t="str">
        <x:v>None reported</x:v>
      </x:c>
      <x:c r="F6" s="54" t="str">
        <x:v>REPORTED</x:v>
      </x:c>
      <x:c r="G6" s="64" t="n">
        <x:v>46267.34583333333</x:v>
      </x:c>
      <x:c r="H6" s="61" t="str">
        <x:v>Synthetic response</x:v>
      </x:c>
    </x:row>
    <x:row r="7" ht="36" customHeight="1">
      <x:c r="A7" s="54" t="str">
        <x:v>RESP-ENC-HSP-001-001-06</x:v>
      </x:c>
      <x:c r="B7" s="54" t="str">
        <x:v>INT-ENC-HSP-001-001-01</x:v>
      </x:c>
      <x:c r="C7" s="54" t="str">
        <x:v>Q-ALLERGY</x:v>
      </x:c>
      <x:c r="D7" s="61" t="str">
        <x:v>Are there any known medicine allergies?</x:v>
      </x:c>
      <x:c r="E7" s="54" t="str">
        <x:v>No known allergy reported</x:v>
      </x:c>
      <x:c r="F7" s="54" t="str">
        <x:v>REPORTED</x:v>
      </x:c>
      <x:c r="G7" s="64" t="n">
        <x:v>46267.34652777778</x:v>
      </x:c>
      <x:c r="H7" s="61" t="str">
        <x:v>Synthetic response</x:v>
      </x:c>
    </x:row>
    <x:row r="8" ht="36" customHeight="1">
      <x:c r="A8" s="54" t="str">
        <x:v>RESP-ENC-HSP-001-002-01</x:v>
      </x:c>
      <x:c r="B8" s="54" t="str">
        <x:v>INT-ENC-HSP-001-002-01</x:v>
      </x:c>
      <x:c r="C8" s="54" t="str">
        <x:v>Q-ONSET</x:v>
      </x:c>
      <x:c r="D8" s="61" t="str">
        <x:v>When did the current problem begin?</x:v>
      </x:c>
      <x:c r="E8" s="54" t="str">
        <x:v>Earlier today</x:v>
      </x:c>
      <x:c r="F8" s="54" t="str">
        <x:v>REPORTED</x:v>
      </x:c>
      <x:c r="G8" s="64" t="n">
        <x:v>46267.347916666666</x:v>
      </x:c>
      <x:c r="H8" s="61" t="str">
        <x:v>Synthetic response</x:v>
      </x:c>
    </x:row>
    <x:row r="9" ht="36" customHeight="1">
      <x:c r="A9" s="54" t="str">
        <x:v>RESP-ENC-HSP-001-002-02</x:v>
      </x:c>
      <x:c r="B9" s="54" t="str">
        <x:v>INT-ENC-HSP-001-002-01</x:v>
      </x:c>
      <x:c r="C9" s="54" t="str">
        <x:v>Q-SEVERITY</x:v>
      </x:c>
      <x:c r="D9" s="61" t="str">
        <x:v>How severe is it right now from 0 to 10?</x:v>
      </x:c>
      <x:c r="E9" s="54" t="str">
        <x:v>9</x:v>
      </x:c>
      <x:c r="F9" s="54" t="str">
        <x:v>REPORTED</x:v>
      </x:c>
      <x:c r="G9" s="64" t="n">
        <x:v>46267.34861111111</x:v>
      </x:c>
      <x:c r="H9" s="61" t="str">
        <x:v>Synthetic response</x:v>
      </x:c>
    </x:row>
    <x:row r="10" ht="36" customHeight="1">
      <x:c r="A10" s="54" t="str">
        <x:v>RESP-ENC-HSP-001-002-03</x:v>
      </x:c>
      <x:c r="B10" s="54" t="str">
        <x:v>INT-ENC-HSP-001-002-01</x:v>
      </x:c>
      <x:c r="C10" s="54" t="str">
        <x:v>Q-ASSOCIATED</x:v>
      </x:c>
      <x:c r="D10" s="61" t="str">
        <x:v>What other symptoms are present?</x:v>
      </x:c>
      <x:c r="E10" s="54" t="str">
        <x:v>No additional symptom volunteered</x:v>
      </x:c>
      <x:c r="F10" s="54" t="str">
        <x:v>REPORTED</x:v>
      </x:c>
      <x:c r="G10" s="64" t="n">
        <x:v>46267.34930555556</x:v>
      </x:c>
      <x:c r="H10" s="61" t="str">
        <x:v>Synthetic response</x:v>
      </x:c>
    </x:row>
    <x:row r="11" ht="36" customHeight="1">
      <x:c r="A11" s="54" t="str">
        <x:v>RESP-ENC-HSP-001-002-04</x:v>
      </x:c>
      <x:c r="B11" s="54" t="str">
        <x:v>INT-ENC-HSP-001-002-01</x:v>
      </x:c>
      <x:c r="C11" s="54" t="str">
        <x:v>Q-WORSENING</x:v>
      </x:c>
      <x:c r="D11" s="61" t="str">
        <x:v>Is the problem getting worse?</x:v>
      </x:c>
      <x:c r="E11" s="54" t="str">
        <x:v>Yes</x:v>
      </x:c>
      <x:c r="F11" s="54" t="str">
        <x:v>REPORTED</x:v>
      </x:c>
      <x:c r="G11" s="64" t="n">
        <x:v>46267.35</x:v>
      </x:c>
      <x:c r="H11" s="61" t="str">
        <x:v>Synthetic response</x:v>
      </x:c>
    </x:row>
    <x:row r="12" ht="36" customHeight="1">
      <x:c r="A12" s="54" t="str">
        <x:v>RESP-ENC-HSP-001-002-05</x:v>
      </x:c>
      <x:c r="B12" s="54" t="str">
        <x:v>INT-ENC-HSP-001-002-01</x:v>
      </x:c>
      <x:c r="C12" s="54" t="str">
        <x:v>Q-MEDICATION</x:v>
      </x:c>
      <x:c r="D12" s="61" t="str">
        <x:v>Was any medicine taken for this problem?</x:v>
      </x:c>
      <x:c r="E12" s="54" t="str">
        <x:v>None reported</x:v>
      </x:c>
      <x:c r="F12" s="54" t="str">
        <x:v>REPORTED</x:v>
      </x:c>
      <x:c r="G12" s="64" t="n">
        <x:v>46267.350694444445</x:v>
      </x:c>
      <x:c r="H12" s="61" t="str">
        <x:v>Synthetic response</x:v>
      </x:c>
    </x:row>
    <x:row r="13" ht="36" customHeight="1">
      <x:c r="A13" s="54" t="str">
        <x:v>RESP-ENC-HSP-001-002-06</x:v>
      </x:c>
      <x:c r="B13" s="54" t="str">
        <x:v>INT-ENC-HSP-001-002-01</x:v>
      </x:c>
      <x:c r="C13" s="54" t="str">
        <x:v>Q-ALLERGY</x:v>
      </x:c>
      <x:c r="D13" s="61" t="str">
        <x:v>Are there any known medicine allergies?</x:v>
      </x:c>
      <x:c r="E13" s="54" t="str">
        <x:v>No known allergy reported</x:v>
      </x:c>
      <x:c r="F13" s="54" t="str">
        <x:v>REPORTED</x:v>
      </x:c>
      <x:c r="G13" s="64" t="n">
        <x:v>46267.35138888889</x:v>
      </x:c>
      <x:c r="H13" s="61" t="str">
        <x:v>Synthetic response</x:v>
      </x:c>
    </x:row>
    <x:row r="14" ht="36" customHeight="1">
      <x:c r="A14" s="54" t="str">
        <x:v>RESP-ENC-HSP-001-003-01</x:v>
      </x:c>
      <x:c r="B14" s="54" t="str">
        <x:v>INT-ENC-HSP-001-003-01</x:v>
      </x:c>
      <x:c r="C14" s="54" t="str">
        <x:v>Q-ONSET</x:v>
      </x:c>
      <x:c r="D14" s="61" t="str">
        <x:v>When did the current problem begin?</x:v>
      </x:c>
      <x:c r="E14" s="54" t="str">
        <x:v>Within the last 24 hours</x:v>
      </x:c>
      <x:c r="F14" s="54" t="str">
        <x:v>REPORTED</x:v>
      </x:c>
      <x:c r="G14" s="64" t="n">
        <x:v>46267.35277777778</x:v>
      </x:c>
      <x:c r="H14" s="61" t="str">
        <x:v>Synthetic response</x:v>
      </x:c>
    </x:row>
    <x:row r="15" ht="36" customHeight="1">
      <x:c r="A15" s="54" t="str">
        <x:v>RESP-ENC-HSP-001-003-02</x:v>
      </x:c>
      <x:c r="B15" s="54" t="str">
        <x:v>INT-ENC-HSP-001-003-01</x:v>
      </x:c>
      <x:c r="C15" s="54" t="str">
        <x:v>Q-SEVERITY</x:v>
      </x:c>
      <x:c r="D15" s="61" t="str">
        <x:v>How severe is it right now from 0 to 10?</x:v>
      </x:c>
      <x:c r="E15" s="54" t="str">
        <x:v>9</x:v>
      </x:c>
      <x:c r="F15" s="54" t="str">
        <x:v>REPORTED</x:v>
      </x:c>
      <x:c r="G15" s="64" t="n">
        <x:v>46267.353472222225</x:v>
      </x:c>
      <x:c r="H15" s="61" t="str">
        <x:v>Synthetic response</x:v>
      </x:c>
    </x:row>
    <x:row r="16" ht="36" customHeight="1">
      <x:c r="A16" s="54" t="str">
        <x:v>RESP-ENC-HSP-001-003-03</x:v>
      </x:c>
      <x:c r="B16" s="54" t="str">
        <x:v>INT-ENC-HSP-001-003-01</x:v>
      </x:c>
      <x:c r="C16" s="54" t="str">
        <x:v>Q-ASSOCIATED</x:v>
      </x:c>
      <x:c r="D16" s="61" t="str">
        <x:v>What other symptoms are present?</x:v>
      </x:c>
      <x:c r="E16" s="54" t="str">
        <x:v>No additional symptom volunteered</x:v>
      </x:c>
      <x:c r="F16" s="54" t="str">
        <x:v>REPORTED</x:v>
      </x:c>
      <x:c r="G16" s="64" t="n">
        <x:v>46267.354166666664</x:v>
      </x:c>
      <x:c r="H16" s="61" t="str">
        <x:v>Synthetic response</x:v>
      </x:c>
    </x:row>
    <x:row r="17" ht="36" customHeight="1">
      <x:c r="A17" s="54" t="str">
        <x:v>RESP-ENC-HSP-001-003-04</x:v>
      </x:c>
      <x:c r="B17" s="54" t="str">
        <x:v>INT-ENC-HSP-001-003-01</x:v>
      </x:c>
      <x:c r="C17" s="54" t="str">
        <x:v>Q-WORSENING</x:v>
      </x:c>
      <x:c r="D17" s="61" t="str">
        <x:v>Is the problem getting worse?</x:v>
      </x:c>
      <x:c r="E17" s="54" t="str">
        <x:v>Yes</x:v>
      </x:c>
      <x:c r="F17" s="54" t="str">
        <x:v>REPORTED</x:v>
      </x:c>
      <x:c r="G17" s="64" t="n">
        <x:v>46267.35486111111</x:v>
      </x:c>
      <x:c r="H17" s="61" t="str">
        <x:v>Synthetic response</x:v>
      </x:c>
    </x:row>
    <x:row r="18" ht="36" customHeight="1">
      <x:c r="A18" s="54" t="str">
        <x:v>RESP-ENC-HSP-001-003-05</x:v>
      </x:c>
      <x:c r="B18" s="54" t="str">
        <x:v>INT-ENC-HSP-001-003-01</x:v>
      </x:c>
      <x:c r="C18" s="54" t="str">
        <x:v>Q-MEDICATION</x:v>
      </x:c>
      <x:c r="D18" s="61" t="str">
        <x:v>Was any medicine taken for this problem?</x:v>
      </x:c>
      <x:c r="E18" s="54" t="str">
        <x:v>Unspecified over-the-counter medicine; verify</x:v>
      </x:c>
      <x:c r="F18" s="54" t="str">
        <x:v>REPORTED</x:v>
      </x:c>
      <x:c r="G18" s="64" t="n">
        <x:v>46267.35555555556</x:v>
      </x:c>
      <x:c r="H18" s="61" t="str">
        <x:v>Synthetic response</x:v>
      </x:c>
    </x:row>
    <x:row r="19" ht="36" customHeight="1">
      <x:c r="A19" s="54" t="str">
        <x:v>RESP-ENC-HSP-001-003-06</x:v>
      </x:c>
      <x:c r="B19" s="54" t="str">
        <x:v>INT-ENC-HSP-001-003-01</x:v>
      </x:c>
      <x:c r="C19" s="54" t="str">
        <x:v>Q-ALLERGY</x:v>
      </x:c>
      <x:c r="D19" s="61" t="str">
        <x:v>Are there any known medicine allergies?</x:v>
      </x:c>
      <x:c r="E19" s="54" t="str">
        <x:v>No known allergy reported</x:v>
      </x:c>
      <x:c r="F19" s="54" t="str">
        <x:v>REPORTED</x:v>
      </x:c>
      <x:c r="G19" s="64" t="n">
        <x:v>46267.35625</x:v>
      </x:c>
      <x:c r="H19" s="61" t="str">
        <x:v>Synthetic response</x:v>
      </x:c>
    </x:row>
    <x:row r="20" ht="36" customHeight="1">
      <x:c r="A20" s="54" t="str">
        <x:v>RESP-ENC-HSP-001-004-01</x:v>
      </x:c>
      <x:c r="B20" s="54" t="str">
        <x:v>INT-ENC-HSP-001-004-01</x:v>
      </x:c>
      <x:c r="C20" s="54" t="str">
        <x:v>Q-ONSET</x:v>
      </x:c>
      <x:c r="D20" s="61" t="str">
        <x:v>When did the current problem begin?</x:v>
      </x:c>
      <x:c r="E20" s="54" t="str">
        <x:v>Earlier today</x:v>
      </x:c>
      <x:c r="F20" s="54" t="str">
        <x:v>REPORTED</x:v>
      </x:c>
      <x:c r="G20" s="64" t="n">
        <x:v>46267.399305555555</x:v>
      </x:c>
      <x:c r="H20" s="61" t="str">
        <x:v>Synthetic response</x:v>
      </x:c>
    </x:row>
    <x:row r="21" ht="36" customHeight="1">
      <x:c r="A21" s="54" t="str">
        <x:v>RESP-ENC-HSP-001-004-02</x:v>
      </x:c>
      <x:c r="B21" s="54" t="str">
        <x:v>INT-ENC-HSP-001-004-01</x:v>
      </x:c>
      <x:c r="C21" s="54" t="str">
        <x:v>Q-SEVERITY</x:v>
      </x:c>
      <x:c r="D21" s="61" t="str">
        <x:v>How severe is it right now from 0 to 10?</x:v>
      </x:c>
      <x:c r="E21" s="54" t="str">
        <x:v>9</x:v>
      </x:c>
      <x:c r="F21" s="54" t="str">
        <x:v>REPORTED</x:v>
      </x:c>
      <x:c r="G21" s="64" t="n">
        <x:v>46267.4</x:v>
      </x:c>
      <x:c r="H21" s="61" t="str">
        <x:v>Synthetic response</x:v>
      </x:c>
    </x:row>
    <x:row r="22" ht="36" customHeight="1">
      <x:c r="A22" s="54" t="str">
        <x:v>RESP-ENC-HSP-001-004-03</x:v>
      </x:c>
      <x:c r="B22" s="54" t="str">
        <x:v>INT-ENC-HSP-001-004-01</x:v>
      </x:c>
      <x:c r="C22" s="54" t="str">
        <x:v>Q-ASSOCIATED</x:v>
      </x:c>
      <x:c r="D22" s="61" t="str">
        <x:v>What other symptoms are present?</x:v>
      </x:c>
      <x:c r="E22" s="54" t="str">
        <x:v>No additional symptom volunteered</x:v>
      </x:c>
      <x:c r="F22" s="54" t="str">
        <x:v>REPORTED</x:v>
      </x:c>
      <x:c r="G22" s="64" t="n">
        <x:v>46267.40069444444</x:v>
      </x:c>
      <x:c r="H22" s="61" t="str">
        <x:v>Synthetic response</x:v>
      </x:c>
    </x:row>
    <x:row r="23" ht="36" customHeight="1">
      <x:c r="A23" s="54" t="str">
        <x:v>RESP-ENC-HSP-001-004-04</x:v>
      </x:c>
      <x:c r="B23" s="54" t="str">
        <x:v>INT-ENC-HSP-001-004-01</x:v>
      </x:c>
      <x:c r="C23" s="54" t="str">
        <x:v>Q-WORSENING</x:v>
      </x:c>
      <x:c r="D23" s="61" t="str">
        <x:v>Is the problem getting worse?</x:v>
      </x:c>
      <x:c r="E23" s="54" t="str">
        <x:v>Yes</x:v>
      </x:c>
      <x:c r="F23" s="54" t="str">
        <x:v>REPORTED</x:v>
      </x:c>
      <x:c r="G23" s="64" t="n">
        <x:v>46267.40138888889</x:v>
      </x:c>
      <x:c r="H23" s="61" t="str">
        <x:v>Synthetic response</x:v>
      </x:c>
    </x:row>
    <x:row r="24" ht="36" customHeight="1">
      <x:c r="A24" s="54" t="str">
        <x:v>RESP-ENC-HSP-001-004-05</x:v>
      </x:c>
      <x:c r="B24" s="54" t="str">
        <x:v>INT-ENC-HSP-001-004-01</x:v>
      </x:c>
      <x:c r="C24" s="54" t="str">
        <x:v>Q-MEDICATION</x:v>
      </x:c>
      <x:c r="D24" s="61" t="str">
        <x:v>Was any medicine taken for this problem?</x:v>
      </x:c>
      <x:c r="E24" s="54" t="str">
        <x:v>None reported</x:v>
      </x:c>
      <x:c r="F24" s="54" t="str">
        <x:v>REPORTED</x:v>
      </x:c>
      <x:c r="G24" s="64" t="n">
        <x:v>46267.402083333334</x:v>
      </x:c>
      <x:c r="H24" s="61" t="str">
        <x:v>Synthetic response</x:v>
      </x:c>
    </x:row>
    <x:row r="25" ht="36" customHeight="1">
      <x:c r="A25" s="54" t="str">
        <x:v>RESP-ENC-HSP-001-004-06</x:v>
      </x:c>
      <x:c r="B25" s="54" t="str">
        <x:v>INT-ENC-HSP-001-004-01</x:v>
      </x:c>
      <x:c r="C25" s="54" t="str">
        <x:v>Q-ALLERGY</x:v>
      </x:c>
      <x:c r="D25" s="61" t="str">
        <x:v>Are there any known medicine allergies?</x:v>
      </x:c>
      <x:c r="E25" s="54" t="str">
        <x:v>No known allergy reported</x:v>
      </x:c>
      <x:c r="F25" s="54" t="str">
        <x:v>REPORTED</x:v>
      </x:c>
      <x:c r="G25" s="64" t="n">
        <x:v>46267.40277777778</x:v>
      </x:c>
      <x:c r="H25" s="61" t="str">
        <x:v>Synthetic response</x:v>
      </x:c>
    </x:row>
    <x:row r="26" ht="36" customHeight="1">
      <x:c r="A26" s="54" t="str">
        <x:v>RESP-ENC-HSP-001-005-01</x:v>
      </x:c>
      <x:c r="B26" s="54" t="str">
        <x:v>INT-ENC-HSP-001-005-01</x:v>
      </x:c>
      <x:c r="C26" s="54" t="str">
        <x:v>Q-ONSET</x:v>
      </x:c>
      <x:c r="D26" s="61" t="str">
        <x:v>When did the current problem begin?</x:v>
      </x:c>
      <x:c r="E26" s="54" t="str">
        <x:v>Within the last 24 hours</x:v>
      </x:c>
      <x:c r="F26" s="54" t="str">
        <x:v>REPORTED</x:v>
      </x:c>
      <x:c r="G26" s="64" t="n">
        <x:v>46267.40416666667</x:v>
      </x:c>
      <x:c r="H26" s="61" t="str">
        <x:v>Synthetic response</x:v>
      </x:c>
    </x:row>
    <x:row r="27" ht="36" customHeight="1">
      <x:c r="A27" s="54" t="str">
        <x:v>RESP-ENC-HSP-001-005-02</x:v>
      </x:c>
      <x:c r="B27" s="54" t="str">
        <x:v>INT-ENC-HSP-001-005-01</x:v>
      </x:c>
      <x:c r="C27" s="54" t="str">
        <x:v>Q-SEVERITY</x:v>
      </x:c>
      <x:c r="D27" s="61" t="str">
        <x:v>How severe is it right now from 0 to 10?</x:v>
      </x:c>
      <x:c r="E27" s="54" t="str">
        <x:v>8</x:v>
      </x:c>
      <x:c r="F27" s="54" t="str">
        <x:v>REPORTED</x:v>
      </x:c>
      <x:c r="G27" s="64" t="n">
        <x:v>46267.404861111114</x:v>
      </x:c>
      <x:c r="H27" s="61" t="str">
        <x:v>Synthetic response</x:v>
      </x:c>
    </x:row>
    <x:row r="28" ht="36" customHeight="1">
      <x:c r="A28" s="54" t="str">
        <x:v>RESP-ENC-HSP-001-005-03</x:v>
      </x:c>
      <x:c r="B28" s="54" t="str">
        <x:v>INT-ENC-HSP-001-005-01</x:v>
      </x:c>
      <x:c r="C28" s="54" t="str">
        <x:v>Q-ASSOCIATED</x:v>
      </x:c>
      <x:c r="D28" s="61" t="str">
        <x:v>What other symptoms are present?</x:v>
      </x:c>
      <x:c r="E28" s="54" t="str">
        <x:v>No additional symptom volunteered</x:v>
      </x:c>
      <x:c r="F28" s="54" t="str">
        <x:v>REPORTED</x:v>
      </x:c>
      <x:c r="G28" s="64" t="n">
        <x:v>46267.40555555555</x:v>
      </x:c>
      <x:c r="H28" s="61" t="str">
        <x:v>Synthetic response</x:v>
      </x:c>
    </x:row>
    <x:row r="29" ht="36" customHeight="1">
      <x:c r="A29" s="54" t="str">
        <x:v>RESP-ENC-HSP-001-005-04</x:v>
      </x:c>
      <x:c r="B29" s="54" t="str">
        <x:v>INT-ENC-HSP-001-005-01</x:v>
      </x:c>
      <x:c r="C29" s="54" t="str">
        <x:v>Q-WORSENING</x:v>
      </x:c>
      <x:c r="D29" s="61" t="str">
        <x:v>Is the problem getting worse?</x:v>
      </x:c>
      <x:c r="E29" s="54" t="str">
        <x:v>Yes</x:v>
      </x:c>
      <x:c r="F29" s="54" t="str">
        <x:v>REPORTED</x:v>
      </x:c>
      <x:c r="G29" s="64" t="n">
        <x:v>46267.40625</x:v>
      </x:c>
      <x:c r="H29" s="61" t="str">
        <x:v>Synthetic response</x:v>
      </x:c>
    </x:row>
    <x:row r="30" ht="36" customHeight="1">
      <x:c r="A30" s="54" t="str">
        <x:v>RESP-ENC-HSP-001-005-05</x:v>
      </x:c>
      <x:c r="B30" s="54" t="str">
        <x:v>INT-ENC-HSP-001-005-01</x:v>
      </x:c>
      <x:c r="C30" s="54" t="str">
        <x:v>Q-MEDICATION</x:v>
      </x:c>
      <x:c r="D30" s="61" t="str">
        <x:v>Was any medicine taken for this problem?</x:v>
      </x:c>
      <x:c r="E30" s="54" t="str">
        <x:v>None reported</x:v>
      </x:c>
      <x:c r="F30" s="54" t="str">
        <x:v>REPORTED</x:v>
      </x:c>
      <x:c r="G30" s="64" t="n">
        <x:v>46267.40694444445</x:v>
      </x:c>
      <x:c r="H30" s="61" t="str">
        <x:v>Synthetic response</x:v>
      </x:c>
    </x:row>
    <x:row r="31" ht="36" customHeight="1">
      <x:c r="A31" s="54" t="str">
        <x:v>RESP-ENC-HSP-001-005-06</x:v>
      </x:c>
      <x:c r="B31" s="54" t="str">
        <x:v>INT-ENC-HSP-001-005-01</x:v>
      </x:c>
      <x:c r="C31" s="54" t="str">
        <x:v>Q-ALLERGY</x:v>
      </x:c>
      <x:c r="D31" s="61" t="str">
        <x:v>Are there any known medicine allergies?</x:v>
      </x:c>
      <x:c r="E31" s="54" t="str">
        <x:v>No known allergy reported</x:v>
      </x:c>
      <x:c r="F31" s="54" t="str">
        <x:v>REPORTED</x:v>
      </x:c>
      <x:c r="G31" s="64" t="n">
        <x:v>46267.407638888886</x:v>
      </x:c>
      <x:c r="H31" s="61" t="str">
        <x:v>Synthetic response</x:v>
      </x:c>
    </x:row>
    <x:row r="32" ht="36" customHeight="1">
      <x:c r="A32" s="54" t="str">
        <x:v>RESP-ENC-HSP-001-006-01</x:v>
      </x:c>
      <x:c r="B32" s="54" t="str">
        <x:v>INT-ENC-HSP-001-006-01</x:v>
      </x:c>
      <x:c r="C32" s="54" t="str">
        <x:v>Q-ONSET</x:v>
      </x:c>
      <x:c r="D32" s="61" t="str">
        <x:v>When did the current problem begin?</x:v>
      </x:c>
      <x:c r="E32" s="54" t="str">
        <x:v>Earlier today</x:v>
      </x:c>
      <x:c r="F32" s="54" t="str">
        <x:v>REPORTED</x:v>
      </x:c>
      <x:c r="G32" s="64" t="n">
        <x:v>46267.40902777778</x:v>
      </x:c>
      <x:c r="H32" s="61" t="str">
        <x:v>Synthetic response</x:v>
      </x:c>
    </x:row>
    <x:row r="33" ht="36" customHeight="1">
      <x:c r="A33" s="54" t="str">
        <x:v>RESP-ENC-HSP-001-006-02</x:v>
      </x:c>
      <x:c r="B33" s="54" t="str">
        <x:v>INT-ENC-HSP-001-006-01</x:v>
      </x:c>
      <x:c r="C33" s="54" t="str">
        <x:v>Q-SEVERITY</x:v>
      </x:c>
      <x:c r="D33" s="61" t="str">
        <x:v>How severe is it right now from 0 to 10?</x:v>
      </x:c>
      <x:c r="E33" s="54" t="str">
        <x:v>8</x:v>
      </x:c>
      <x:c r="F33" s="54" t="str">
        <x:v>REPORTED</x:v>
      </x:c>
      <x:c r="G33" s="64" t="n">
        <x:v>46267.40972222222</x:v>
      </x:c>
      <x:c r="H33" s="61" t="str">
        <x:v>Synthetic response</x:v>
      </x:c>
    </x:row>
    <x:row r="34" ht="36" customHeight="1">
      <x:c r="A34" s="54" t="str">
        <x:v>RESP-ENC-HSP-001-006-03</x:v>
      </x:c>
      <x:c r="B34" s="54" t="str">
        <x:v>INT-ENC-HSP-001-006-01</x:v>
      </x:c>
      <x:c r="C34" s="54" t="str">
        <x:v>Q-ASSOCIATED</x:v>
      </x:c>
      <x:c r="D34" s="61" t="str">
        <x:v>What other symptoms are present?</x:v>
      </x:c>
      <x:c r="E34" s="54" t="str">
        <x:v>No additional symptom volunteered</x:v>
      </x:c>
      <x:c r="F34" s="54" t="str">
        <x:v>REPORTED</x:v>
      </x:c>
      <x:c r="G34" s="64" t="n">
        <x:v>46267.410416666666</x:v>
      </x:c>
      <x:c r="H34" s="61" t="str">
        <x:v>Synthetic response</x:v>
      </x:c>
    </x:row>
    <x:row r="35" ht="36" customHeight="1">
      <x:c r="A35" s="54" t="str">
        <x:v>RESP-ENC-HSP-001-006-04</x:v>
      </x:c>
      <x:c r="B35" s="54" t="str">
        <x:v>INT-ENC-HSP-001-006-01</x:v>
      </x:c>
      <x:c r="C35" s="54" t="str">
        <x:v>Q-WORSENING</x:v>
      </x:c>
      <x:c r="D35" s="61" t="str">
        <x:v>Is the problem getting worse?</x:v>
      </x:c>
      <x:c r="E35" s="54" t="str">
        <x:v>Yes</x:v>
      </x:c>
      <x:c r="F35" s="54" t="str">
        <x:v>REPORTED</x:v>
      </x:c>
      <x:c r="G35" s="64" t="n">
        <x:v>46267.41111111111</x:v>
      </x:c>
      <x:c r="H35" s="61" t="str">
        <x:v>Synthetic response</x:v>
      </x:c>
    </x:row>
    <x:row r="36" ht="36" customHeight="1">
      <x:c r="A36" s="54" t="str">
        <x:v>RESP-ENC-HSP-001-006-05</x:v>
      </x:c>
      <x:c r="B36" s="54" t="str">
        <x:v>INT-ENC-HSP-001-006-01</x:v>
      </x:c>
      <x:c r="C36" s="54" t="str">
        <x:v>Q-MEDICATION</x:v>
      </x:c>
      <x:c r="D36" s="61" t="str">
        <x:v>Was any medicine taken for this problem?</x:v>
      </x:c>
      <x:c r="E36" s="54" t="str">
        <x:v>Unspecified over-the-counter medicine; verify</x:v>
      </x:c>
      <x:c r="F36" s="54" t="str">
        <x:v>REPORTED</x:v>
      </x:c>
      <x:c r="G36" s="64" t="n">
        <x:v>46267.41180555556</x:v>
      </x:c>
      <x:c r="H36" s="61" t="str">
        <x:v>Synthetic response</x:v>
      </x:c>
    </x:row>
    <x:row r="37" ht="36" customHeight="1">
      <x:c r="A37" s="54" t="str">
        <x:v>RESP-ENC-HSP-001-006-06</x:v>
      </x:c>
      <x:c r="B37" s="54" t="str">
        <x:v>INT-ENC-HSP-001-006-01</x:v>
      </x:c>
      <x:c r="C37" s="54" t="str">
        <x:v>Q-ALLERGY</x:v>
      </x:c>
      <x:c r="D37" s="61" t="str">
        <x:v>Are there any known medicine allergies?</x:v>
      </x:c>
      <x:c r="E37" s="54" t="str">
        <x:v>No known allergy reported</x:v>
      </x:c>
      <x:c r="F37" s="54" t="str">
        <x:v>REPORTED</x:v>
      </x:c>
      <x:c r="G37" s="64" t="n">
        <x:v>46267.4125</x:v>
      </x:c>
      <x:c r="H37" s="61" t="str">
        <x:v>Synthetic response</x:v>
      </x:c>
    </x:row>
    <x:row r="38" ht="36" customHeight="1">
      <x:c r="A38" s="54" t="str">
        <x:v>RESP-ENC-HSP-001-007-01</x:v>
      </x:c>
      <x:c r="B38" s="54" t="str">
        <x:v>INT-ENC-HSP-001-007-01</x:v>
      </x:c>
      <x:c r="C38" s="54" t="str">
        <x:v>Q-ONSET</x:v>
      </x:c>
      <x:c r="D38" s="61" t="str">
        <x:v>When did the current problem begin?</x:v>
      </x:c>
      <x:c r="E38" s="54" t="str">
        <x:v>Within the last 24 hours</x:v>
      </x:c>
      <x:c r="F38" s="54" t="str">
        <x:v>REPORTED</x:v>
      </x:c>
      <x:c r="G38" s="64" t="n">
        <x:v>46267.41388888889</x:v>
      </x:c>
      <x:c r="H38" s="61" t="str">
        <x:v>Synthetic response</x:v>
      </x:c>
    </x:row>
    <x:row r="39" ht="36" customHeight="1">
      <x:c r="A39" s="54" t="str">
        <x:v>RESP-ENC-HSP-001-007-02</x:v>
      </x:c>
      <x:c r="B39" s="54" t="str">
        <x:v>INT-ENC-HSP-001-007-01</x:v>
      </x:c>
      <x:c r="C39" s="54" t="str">
        <x:v>Q-SEVERITY</x:v>
      </x:c>
      <x:c r="D39" s="61" t="str">
        <x:v>How severe is it right now from 0 to 10?</x:v>
      </x:c>
      <x:c r="E39" s="54" t="str">
        <x:v>8</x:v>
      </x:c>
      <x:c r="F39" s="54" t="str">
        <x:v>REPORTED</x:v>
      </x:c>
      <x:c r="G39" s="64" t="n">
        <x:v>46267.41458333333</x:v>
      </x:c>
      <x:c r="H39" s="61" t="str">
        <x:v>Synthetic response</x:v>
      </x:c>
    </x:row>
    <x:row r="40" ht="36" customHeight="1">
      <x:c r="A40" s="54" t="str">
        <x:v>RESP-ENC-HSP-001-007-03</x:v>
      </x:c>
      <x:c r="B40" s="54" t="str">
        <x:v>INT-ENC-HSP-001-007-01</x:v>
      </x:c>
      <x:c r="C40" s="54" t="str">
        <x:v>Q-ASSOCIATED</x:v>
      </x:c>
      <x:c r="D40" s="61" t="str">
        <x:v>What other symptoms are present?</x:v>
      </x:c>
      <x:c r="E40" s="54" t="str">
        <x:v>No additional symptom volunteered</x:v>
      </x:c>
      <x:c r="F40" s="54" t="str">
        <x:v>REPORTED</x:v>
      </x:c>
      <x:c r="G40" s="64" t="n">
        <x:v>46267.41527777778</x:v>
      </x:c>
      <x:c r="H40" s="61" t="str">
        <x:v>Synthetic response</x:v>
      </x:c>
    </x:row>
    <x:row r="41" ht="36" customHeight="1">
      <x:c r="A41" s="54" t="str">
        <x:v>RESP-ENC-HSP-001-007-04</x:v>
      </x:c>
      <x:c r="B41" s="54" t="str">
        <x:v>INT-ENC-HSP-001-007-01</x:v>
      </x:c>
      <x:c r="C41" s="54" t="str">
        <x:v>Q-WORSENING</x:v>
      </x:c>
      <x:c r="D41" s="61" t="str">
        <x:v>Is the problem getting worse?</x:v>
      </x:c>
      <x:c r="E41" s="54" t="str">
        <x:v>Yes</x:v>
      </x:c>
      <x:c r="F41" s="54" t="str">
        <x:v>REPORTED</x:v>
      </x:c>
      <x:c r="G41" s="64" t="n">
        <x:v>46267.415972222225</x:v>
      </x:c>
      <x:c r="H41" s="61" t="str">
        <x:v>Synthetic response</x:v>
      </x:c>
    </x:row>
    <x:row r="42" ht="36" customHeight="1">
      <x:c r="A42" s="54" t="str">
        <x:v>RESP-ENC-HSP-001-007-05</x:v>
      </x:c>
      <x:c r="B42" s="54" t="str">
        <x:v>INT-ENC-HSP-001-007-01</x:v>
      </x:c>
      <x:c r="C42" s="54" t="str">
        <x:v>Q-MEDICATION</x:v>
      </x:c>
      <x:c r="D42" s="61" t="str">
        <x:v>Was any medicine taken for this problem?</x:v>
      </x:c>
      <x:c r="E42" s="54" t="str">
        <x:v>None reported</x:v>
      </x:c>
      <x:c r="F42" s="54" t="str">
        <x:v>REPORTED</x:v>
      </x:c>
      <x:c r="G42" s="64" t="n">
        <x:v>46267.416666666664</x:v>
      </x:c>
      <x:c r="H42" s="61" t="str">
        <x:v>Synthetic response</x:v>
      </x:c>
    </x:row>
    <x:row r="43" ht="36" customHeight="1">
      <x:c r="A43" s="54" t="str">
        <x:v>RESP-ENC-HSP-001-007-06</x:v>
      </x:c>
      <x:c r="B43" s="54" t="str">
        <x:v>INT-ENC-HSP-001-007-01</x:v>
      </x:c>
      <x:c r="C43" s="54" t="str">
        <x:v>Q-ALLERGY</x:v>
      </x:c>
      <x:c r="D43" s="61" t="str">
        <x:v>Are there any known medicine allergies?</x:v>
      </x:c>
      <x:c r="E43" s="54" t="str">
        <x:v>No known allergy reported</x:v>
      </x:c>
      <x:c r="F43" s="54" t="str">
        <x:v>REPORTED</x:v>
      </x:c>
      <x:c r="G43" s="64" t="n">
        <x:v>46267.41736111111</x:v>
      </x:c>
      <x:c r="H43" s="61" t="str">
        <x:v>Synthetic response</x:v>
      </x:c>
    </x:row>
    <x:row r="44" ht="36" customHeight="1">
      <x:c r="A44" s="54" t="str">
        <x:v>RESP-ENC-HSP-001-008-01</x:v>
      </x:c>
      <x:c r="B44" s="54" t="str">
        <x:v>INT-ENC-HSP-001-008-01</x:v>
      </x:c>
      <x:c r="C44" s="54" t="str">
        <x:v>Q-ONSET</x:v>
      </x:c>
      <x:c r="D44" s="61" t="str">
        <x:v>When did the current problem begin?</x:v>
      </x:c>
      <x:c r="E44" s="54" t="str">
        <x:v>Earlier today</x:v>
      </x:c>
      <x:c r="F44" s="54" t="str">
        <x:v>REPORTED</x:v>
      </x:c>
      <x:c r="G44" s="64" t="n">
        <x:v>46267.46041666667</x:v>
      </x:c>
      <x:c r="H44" s="61" t="str">
        <x:v>Synthetic response</x:v>
      </x:c>
    </x:row>
    <x:row r="45" ht="36" customHeight="1">
      <x:c r="A45" s="54" t="str">
        <x:v>RESP-ENC-HSP-001-008-02</x:v>
      </x:c>
      <x:c r="B45" s="54" t="str">
        <x:v>INT-ENC-HSP-001-008-01</x:v>
      </x:c>
      <x:c r="C45" s="54" t="str">
        <x:v>Q-SEVERITY</x:v>
      </x:c>
      <x:c r="D45" s="61" t="str">
        <x:v>How severe is it right now from 0 to 10?</x:v>
      </x:c>
      <x:c r="E45" s="54" t="str">
        <x:v>8</x:v>
      </x:c>
      <x:c r="F45" s="54" t="str">
        <x:v>REPORTED</x:v>
      </x:c>
      <x:c r="G45" s="64" t="n">
        <x:v>46267.46111111111</x:v>
      </x:c>
      <x:c r="H45" s="61" t="str">
        <x:v>Synthetic response</x:v>
      </x:c>
    </x:row>
    <x:row r="46" ht="36" customHeight="1">
      <x:c r="A46" s="54" t="str">
        <x:v>RESP-ENC-HSP-001-008-03</x:v>
      </x:c>
      <x:c r="B46" s="54" t="str">
        <x:v>INT-ENC-HSP-001-008-01</x:v>
      </x:c>
      <x:c r="C46" s="54" t="str">
        <x:v>Q-ASSOCIATED</x:v>
      </x:c>
      <x:c r="D46" s="61" t="str">
        <x:v>What other symptoms are present?</x:v>
      </x:c>
      <x:c r="E46" s="54" t="str">
        <x:v>Fever and fatigue</x:v>
      </x:c>
      <x:c r="F46" s="54" t="str">
        <x:v>REPORTED</x:v>
      </x:c>
      <x:c r="G46" s="64" t="n">
        <x:v>46267.461805555555</x:v>
      </x:c>
      <x:c r="H46" s="61" t="str">
        <x:v>Synthetic response</x:v>
      </x:c>
    </x:row>
    <x:row r="47" ht="36" customHeight="1">
      <x:c r="A47" s="54" t="str">
        <x:v>RESP-ENC-HSP-001-008-04</x:v>
      </x:c>
      <x:c r="B47" s="54" t="str">
        <x:v>INT-ENC-HSP-001-008-01</x:v>
      </x:c>
      <x:c r="C47" s="54" t="str">
        <x:v>Q-WORSENING</x:v>
      </x:c>
      <x:c r="D47" s="61" t="str">
        <x:v>Is the problem getting worse?</x:v>
      </x:c>
      <x:c r="E47" s="54" t="str">
        <x:v>Yes</x:v>
      </x:c>
      <x:c r="F47" s="54" t="str">
        <x:v>REPORTED</x:v>
      </x:c>
      <x:c r="G47" s="64" t="n">
        <x:v>46267.4625</x:v>
      </x:c>
      <x:c r="H47" s="61" t="str">
        <x:v>Synthetic response</x:v>
      </x:c>
    </x:row>
    <x:row r="48" ht="36" customHeight="1">
      <x:c r="A48" s="54" t="str">
        <x:v>RESP-ENC-HSP-001-008-05</x:v>
      </x:c>
      <x:c r="B48" s="54" t="str">
        <x:v>INT-ENC-HSP-001-008-01</x:v>
      </x:c>
      <x:c r="C48" s="54" t="str">
        <x:v>Q-MEDICATION</x:v>
      </x:c>
      <x:c r="D48" s="61" t="str">
        <x:v>Was any medicine taken for this problem?</x:v>
      </x:c>
      <x:c r="E48" s="54" t="str">
        <x:v>None reported</x:v>
      </x:c>
      <x:c r="F48" s="54" t="str">
        <x:v>REPORTED</x:v>
      </x:c>
      <x:c r="G48" s="64" t="n">
        <x:v>46267.46319444444</x:v>
      </x:c>
      <x:c r="H48" s="61" t="str">
        <x:v>Synthetic response</x:v>
      </x:c>
    </x:row>
    <x:row r="49" ht="36" customHeight="1">
      <x:c r="A49" s="54" t="str">
        <x:v>RESP-ENC-HSP-001-008-06</x:v>
      </x:c>
      <x:c r="B49" s="54" t="str">
        <x:v>INT-ENC-HSP-001-008-01</x:v>
      </x:c>
      <x:c r="C49" s="54" t="str">
        <x:v>Q-ALLERGY</x:v>
      </x:c>
      <x:c r="D49" s="61" t="str">
        <x:v>Are there any known medicine allergies?</x:v>
      </x:c>
      <x:c r="E49" s="54" t="str">
        <x:v>No known allergy reported</x:v>
      </x:c>
      <x:c r="F49" s="54" t="str">
        <x:v>REPORTED</x:v>
      </x:c>
      <x:c r="G49" s="64" t="n">
        <x:v>46267.46388888889</x:v>
      </x:c>
      <x:c r="H49" s="61" t="str">
        <x:v>Synthetic response</x:v>
      </x:c>
    </x:row>
    <x:row r="50" ht="36" customHeight="1">
      <x:c r="A50" s="54" t="str">
        <x:v>RESP-ENC-HSP-001-009-01</x:v>
      </x:c>
      <x:c r="B50" s="54" t="str">
        <x:v>INT-ENC-HSP-001-009-01</x:v>
      </x:c>
      <x:c r="C50" s="54" t="str">
        <x:v>Q-ONSET</x:v>
      </x:c>
      <x:c r="D50" s="61" t="str">
        <x:v>When did the current problem begin?</x:v>
      </x:c>
      <x:c r="E50" s="54" t="str">
        <x:v>Within the last 24 hours</x:v>
      </x:c>
      <x:c r="F50" s="54" t="str">
        <x:v>REPORTED</x:v>
      </x:c>
      <x:c r="G50" s="64" t="n">
        <x:v>46267.42361111111</x:v>
      </x:c>
      <x:c r="H50" s="61" t="str">
        <x:v>Synthetic response</x:v>
      </x:c>
    </x:row>
    <x:row r="51" ht="36" customHeight="1">
      <x:c r="A51" s="54" t="str">
        <x:v>RESP-ENC-HSP-001-009-02</x:v>
      </x:c>
      <x:c r="B51" s="54" t="str">
        <x:v>INT-ENC-HSP-001-009-01</x:v>
      </x:c>
      <x:c r="C51" s="54" t="str">
        <x:v>Q-SEVERITY</x:v>
      </x:c>
      <x:c r="D51" s="61" t="str">
        <x:v>How severe is it right now from 0 to 10?</x:v>
      </x:c>
      <x:c r="E51" s="54" t="str">
        <x:v>8</x:v>
      </x:c>
      <x:c r="F51" s="54" t="str">
        <x:v>REPORTED</x:v>
      </x:c>
      <x:c r="G51" s="64" t="n">
        <x:v>46267.424305555556</x:v>
      </x:c>
      <x:c r="H51" s="61" t="str">
        <x:v>Synthetic response</x:v>
      </x:c>
    </x:row>
    <x:row r="52" ht="36" customHeight="1">
      <x:c r="A52" s="54" t="str">
        <x:v>RESP-ENC-HSP-001-009-03</x:v>
      </x:c>
      <x:c r="B52" s="54" t="str">
        <x:v>INT-ENC-HSP-001-009-01</x:v>
      </x:c>
      <x:c r="C52" s="54" t="str">
        <x:v>Q-ASSOCIATED</x:v>
      </x:c>
      <x:c r="D52" s="61" t="str">
        <x:v>What other symptoms are present?</x:v>
      </x:c>
      <x:c r="E52" s="54" t="str">
        <x:v>No additional symptom volunteered</x:v>
      </x:c>
      <x:c r="F52" s="54" t="str">
        <x:v>REPORTED</x:v>
      </x:c>
      <x:c r="G52" s="64" t="n">
        <x:v>46267.425</x:v>
      </x:c>
      <x:c r="H52" s="61" t="str">
        <x:v>Synthetic response</x:v>
      </x:c>
    </x:row>
    <x:row r="53" ht="36" customHeight="1">
      <x:c r="A53" s="54" t="str">
        <x:v>RESP-ENC-HSP-001-009-04</x:v>
      </x:c>
      <x:c r="B53" s="54" t="str">
        <x:v>INT-ENC-HSP-001-009-01</x:v>
      </x:c>
      <x:c r="C53" s="54" t="str">
        <x:v>Q-WORSENING</x:v>
      </x:c>
      <x:c r="D53" s="61" t="str">
        <x:v>Is the problem getting worse?</x:v>
      </x:c>
      <x:c r="E53" s="54" t="str">
        <x:v>Yes</x:v>
      </x:c>
      <x:c r="F53" s="54" t="str">
        <x:v>REPORTED</x:v>
      </x:c>
      <x:c r="G53" s="64" t="n">
        <x:v>46267.42569444444</x:v>
      </x:c>
      <x:c r="H53" s="61" t="str">
        <x:v>Synthetic response</x:v>
      </x:c>
    </x:row>
    <x:row r="54" ht="36" customHeight="1">
      <x:c r="A54" s="54" t="str">
        <x:v>RESP-ENC-HSP-001-009-05</x:v>
      </x:c>
      <x:c r="B54" s="54" t="str">
        <x:v>INT-ENC-HSP-001-009-01</x:v>
      </x:c>
      <x:c r="C54" s="54" t="str">
        <x:v>Q-MEDICATION</x:v>
      </x:c>
      <x:c r="D54" s="61" t="str">
        <x:v>Was any medicine taken for this problem?</x:v>
      </x:c>
      <x:c r="E54" s="54" t="str">
        <x:v>Unspecified over-the-counter medicine; verify</x:v>
      </x:c>
      <x:c r="F54" s="54" t="str">
        <x:v>REPORTED</x:v>
      </x:c>
      <x:c r="G54" s="64" t="n">
        <x:v>46267.42638888889</x:v>
      </x:c>
      <x:c r="H54" s="61" t="str">
        <x:v>Synthetic response</x:v>
      </x:c>
    </x:row>
    <x:row r="55" ht="36" customHeight="1">
      <x:c r="A55" s="54" t="str">
        <x:v>RESP-ENC-HSP-001-009-06</x:v>
      </x:c>
      <x:c r="B55" s="54" t="str">
        <x:v>INT-ENC-HSP-001-009-01</x:v>
      </x:c>
      <x:c r="C55" s="54" t="str">
        <x:v>Q-ALLERGY</x:v>
      </x:c>
      <x:c r="D55" s="61" t="str">
        <x:v>Are there any known medicine allergies?</x:v>
      </x:c>
      <x:c r="E55" s="54" t="str">
        <x:v>No known allergy reported</x:v>
      </x:c>
      <x:c r="F55" s="54" t="str">
        <x:v>REPORTED</x:v>
      </x:c>
      <x:c r="G55" s="64" t="n">
        <x:v>46267.427083333336</x:v>
      </x:c>
      <x:c r="H55" s="61" t="str">
        <x:v>Synthetic response</x:v>
      </x:c>
    </x:row>
    <x:row r="56" ht="36" customHeight="1">
      <x:c r="A56" s="54" t="str">
        <x:v>RESP-ENC-HSP-001-010-01</x:v>
      </x:c>
      <x:c r="B56" s="54" t="str">
        <x:v>INT-ENC-HSP-001-010-01</x:v>
      </x:c>
      <x:c r="C56" s="54" t="str">
        <x:v>Q-ONSET</x:v>
      </x:c>
      <x:c r="D56" s="61" t="str">
        <x:v>When did the current problem begin?</x:v>
      </x:c>
      <x:c r="E56" s="54" t="str">
        <x:v>Earlier today</x:v>
      </x:c>
      <x:c r="F56" s="54" t="str">
        <x:v>REPORTED</x:v>
      </x:c>
      <x:c r="G56" s="64" t="n">
        <x:v>46267.42847222222</x:v>
      </x:c>
      <x:c r="H56" s="61" t="str">
        <x:v>Synthetic response</x:v>
      </x:c>
    </x:row>
    <x:row r="57" ht="36" customHeight="1">
      <x:c r="A57" s="54" t="str">
        <x:v>RESP-ENC-HSP-001-010-02</x:v>
      </x:c>
      <x:c r="B57" s="54" t="str">
        <x:v>INT-ENC-HSP-001-010-01</x:v>
      </x:c>
      <x:c r="C57" s="54" t="str">
        <x:v>Q-SEVERITY</x:v>
      </x:c>
      <x:c r="D57" s="61" t="str">
        <x:v>How severe is it right now from 0 to 10?</x:v>
      </x:c>
      <x:c r="E57" s="54" t="str">
        <x:v>8</x:v>
      </x:c>
      <x:c r="F57" s="54" t="str">
        <x:v>REPORTED</x:v>
      </x:c>
      <x:c r="G57" s="64" t="n">
        <x:v>46267.42916666667</x:v>
      </x:c>
      <x:c r="H57" s="61" t="str">
        <x:v>Synthetic response</x:v>
      </x:c>
    </x:row>
    <x:row r="58" ht="36" customHeight="1">
      <x:c r="A58" s="54" t="str">
        <x:v>RESP-ENC-HSP-001-010-03</x:v>
      </x:c>
      <x:c r="B58" s="54" t="str">
        <x:v>INT-ENC-HSP-001-010-01</x:v>
      </x:c>
      <x:c r="C58" s="54" t="str">
        <x:v>Q-ASSOCIATED</x:v>
      </x:c>
      <x:c r="D58" s="61" t="str">
        <x:v>What other symptoms are present?</x:v>
      </x:c>
      <x:c r="E58" s="54" t="str">
        <x:v>No additional symptom volunteered</x:v>
      </x:c>
      <x:c r="F58" s="54" t="str">
        <x:v>REPORTED</x:v>
      </x:c>
      <x:c r="G58" s="64" t="n">
        <x:v>46267.42986111111</x:v>
      </x:c>
      <x:c r="H58" s="61" t="str">
        <x:v>Synthetic response</x:v>
      </x:c>
    </x:row>
    <x:row r="59" ht="36" customHeight="1">
      <x:c r="A59" s="54" t="str">
        <x:v>RESP-ENC-HSP-001-010-04</x:v>
      </x:c>
      <x:c r="B59" s="54" t="str">
        <x:v>INT-ENC-HSP-001-010-01</x:v>
      </x:c>
      <x:c r="C59" s="54" t="str">
        <x:v>Q-WORSENING</x:v>
      </x:c>
      <x:c r="D59" s="61" t="str">
        <x:v>Is the problem getting worse?</x:v>
      </x:c>
      <x:c r="E59" s="54" t="str">
        <x:v>Yes</x:v>
      </x:c>
      <x:c r="F59" s="54" t="str">
        <x:v>REPORTED</x:v>
      </x:c>
      <x:c r="G59" s="64" t="n">
        <x:v>46267.430555555555</x:v>
      </x:c>
      <x:c r="H59" s="61" t="str">
        <x:v>Synthetic response</x:v>
      </x:c>
    </x:row>
    <x:row r="60" ht="36" customHeight="1">
      <x:c r="A60" s="54" t="str">
        <x:v>RESP-ENC-HSP-001-010-05</x:v>
      </x:c>
      <x:c r="B60" s="54" t="str">
        <x:v>INT-ENC-HSP-001-010-01</x:v>
      </x:c>
      <x:c r="C60" s="54" t="str">
        <x:v>Q-MEDICATION</x:v>
      </x:c>
      <x:c r="D60" s="61" t="str">
        <x:v>Was any medicine taken for this problem?</x:v>
      </x:c>
      <x:c r="E60" s="54" t="str">
        <x:v>None reported</x:v>
      </x:c>
      <x:c r="F60" s="54" t="str">
        <x:v>REPORTED</x:v>
      </x:c>
      <x:c r="G60" s="64" t="n">
        <x:v>46267.43125</x:v>
      </x:c>
      <x:c r="H60" s="61" t="str">
        <x:v>Synthetic response</x:v>
      </x:c>
    </x:row>
    <x:row r="61" ht="36" customHeight="1">
      <x:c r="A61" s="54" t="str">
        <x:v>RESP-ENC-HSP-001-010-06</x:v>
      </x:c>
      <x:c r="B61" s="54" t="str">
        <x:v>INT-ENC-HSP-001-010-01</x:v>
      </x:c>
      <x:c r="C61" s="54" t="str">
        <x:v>Q-ALLERGY</x:v>
      </x:c>
      <x:c r="D61" s="61" t="str">
        <x:v>Are there any known medicine allergies?</x:v>
      </x:c>
      <x:c r="E61" s="54" t="str">
        <x:v>No known allergy reported</x:v>
      </x:c>
      <x:c r="F61" s="54" t="str">
        <x:v>REPORTED</x:v>
      </x:c>
      <x:c r="G61" s="64" t="n">
        <x:v>46267.43194444444</x:v>
      </x:c>
      <x:c r="H61" s="61" t="str">
        <x:v>Synthetic response</x:v>
      </x:c>
    </x:row>
    <x:row r="62" ht="36" customHeight="1">
      <x:c r="A62" s="54" t="str">
        <x:v>RESP-ENC-HSP-002-001-01</x:v>
      </x:c>
      <x:c r="B62" s="54" t="str">
        <x:v>INT-ENC-HSP-002-001-01</x:v>
      </x:c>
      <x:c r="C62" s="54" t="str">
        <x:v>Q-ONSET</x:v>
      </x:c>
      <x:c r="D62" s="61" t="str">
        <x:v>When did the current problem begin?</x:v>
      </x:c>
      <x:c r="E62" s="54" t="str">
        <x:v>Within the last 24 hours</x:v>
      </x:c>
      <x:c r="F62" s="54" t="str">
        <x:v>REPORTED</x:v>
      </x:c>
      <x:c r="G62" s="64" t="n">
        <x:v>46267.345138888886</x:v>
      </x:c>
      <x:c r="H62" s="61" t="str">
        <x:v>Synthetic response</x:v>
      </x:c>
    </x:row>
    <x:row r="63" ht="36" customHeight="1">
      <x:c r="A63" s="54" t="str">
        <x:v>RESP-ENC-HSP-002-001-02</x:v>
      </x:c>
      <x:c r="B63" s="54" t="str">
        <x:v>INT-ENC-HSP-002-001-01</x:v>
      </x:c>
      <x:c r="C63" s="54" t="str">
        <x:v>Q-SEVERITY</x:v>
      </x:c>
      <x:c r="D63" s="61" t="str">
        <x:v>How severe is it right now from 0 to 10?</x:v>
      </x:c>
      <x:c r="E63" s="54" t="str">
        <x:v>8</x:v>
      </x:c>
      <x:c r="F63" s="54" t="str">
        <x:v>REPORTED</x:v>
      </x:c>
      <x:c r="G63" s="64" t="n">
        <x:v>46267.34583333333</x:v>
      </x:c>
      <x:c r="H63" s="61" t="str">
        <x:v>Synthetic response</x:v>
      </x:c>
    </x:row>
    <x:row r="64" ht="36" customHeight="1">
      <x:c r="A64" s="54" t="str">
        <x:v>RESP-ENC-HSP-002-001-03</x:v>
      </x:c>
      <x:c r="B64" s="54" t="str">
        <x:v>INT-ENC-HSP-002-001-01</x:v>
      </x:c>
      <x:c r="C64" s="54" t="str">
        <x:v>Q-ASSOCIATED</x:v>
      </x:c>
      <x:c r="D64" s="61" t="str">
        <x:v>What other symptoms are present?</x:v>
      </x:c>
      <x:c r="E64" s="54" t="str">
        <x:v>No additional symptom volunteered</x:v>
      </x:c>
      <x:c r="F64" s="54" t="str">
        <x:v>REPORTED</x:v>
      </x:c>
      <x:c r="G64" s="64" t="n">
        <x:v>46267.34652777778</x:v>
      </x:c>
      <x:c r="H64" s="61" t="str">
        <x:v>Synthetic response</x:v>
      </x:c>
    </x:row>
    <x:row r="65" ht="36" customHeight="1">
      <x:c r="A65" s="54" t="str">
        <x:v>RESP-ENC-HSP-002-001-04</x:v>
      </x:c>
      <x:c r="B65" s="54" t="str">
        <x:v>INT-ENC-HSP-002-001-01</x:v>
      </x:c>
      <x:c r="C65" s="54" t="str">
        <x:v>Q-WORSENING</x:v>
      </x:c>
      <x:c r="D65" s="61" t="str">
        <x:v>Is the problem getting worse?</x:v>
      </x:c>
      <x:c r="E65" s="54" t="str">
        <x:v>Yes</x:v>
      </x:c>
      <x:c r="F65" s="54" t="str">
        <x:v>REPORTED</x:v>
      </x:c>
      <x:c r="G65" s="64" t="n">
        <x:v>46267.34722222222</x:v>
      </x:c>
      <x:c r="H65" s="61" t="str">
        <x:v>Synthetic response</x:v>
      </x:c>
    </x:row>
    <x:row r="66" ht="36" customHeight="1">
      <x:c r="A66" s="54" t="str">
        <x:v>RESP-ENC-HSP-002-001-05</x:v>
      </x:c>
      <x:c r="B66" s="54" t="str">
        <x:v>INT-ENC-HSP-002-001-01</x:v>
      </x:c>
      <x:c r="C66" s="54" t="str">
        <x:v>Q-MEDICATION</x:v>
      </x:c>
      <x:c r="D66" s="61" t="str">
        <x:v>Was any medicine taken for this problem?</x:v>
      </x:c>
      <x:c r="E66" s="54" t="str">
        <x:v>None reported</x:v>
      </x:c>
      <x:c r="F66" s="54" t="str">
        <x:v>REPORTED</x:v>
      </x:c>
      <x:c r="G66" s="64" t="n">
        <x:v>46267.347916666666</x:v>
      </x:c>
      <x:c r="H66" s="61" t="str">
        <x:v>Synthetic response</x:v>
      </x:c>
    </x:row>
    <x:row r="67" ht="36" customHeight="1">
      <x:c r="A67" s="54" t="str">
        <x:v>RESP-ENC-HSP-002-001-06</x:v>
      </x:c>
      <x:c r="B67" s="54" t="str">
        <x:v>INT-ENC-HSP-002-001-01</x:v>
      </x:c>
      <x:c r="C67" s="54" t="str">
        <x:v>Q-ALLERGY</x:v>
      </x:c>
      <x:c r="D67" s="61" t="str">
        <x:v>Are there any known medicine allergies?</x:v>
      </x:c>
      <x:c r="E67" s="54" t="str">
        <x:v>No known allergy reported</x:v>
      </x:c>
      <x:c r="F67" s="54" t="str">
        <x:v>REPORTED</x:v>
      </x:c>
      <x:c r="G67" s="64" t="n">
        <x:v>46267.34861111111</x:v>
      </x:c>
      <x:c r="H67" s="61" t="str">
        <x:v>Synthetic response</x:v>
      </x:c>
    </x:row>
    <x:row r="68" ht="36" customHeight="1">
      <x:c r="A68" s="54" t="str">
        <x:v>RESP-ENC-HSP-002-002-01</x:v>
      </x:c>
      <x:c r="B68" s="54" t="str">
        <x:v>INT-ENC-HSP-002-002-01</x:v>
      </x:c>
      <x:c r="C68" s="54" t="str">
        <x:v>Q-ONSET</x:v>
      </x:c>
      <x:c r="D68" s="61" t="str">
        <x:v>When did the current problem begin?</x:v>
      </x:c>
      <x:c r="E68" s="54" t="str">
        <x:v>Earlier today</x:v>
      </x:c>
      <x:c r="F68" s="54" t="str">
        <x:v>REPORTED</x:v>
      </x:c>
      <x:c r="G68" s="64" t="n">
        <x:v>46267.35</x:v>
      </x:c>
      <x:c r="H68" s="61" t="str">
        <x:v>Synthetic response</x:v>
      </x:c>
    </x:row>
    <x:row r="69" ht="36" customHeight="1">
      <x:c r="A69" s="54" t="str">
        <x:v>RESP-ENC-HSP-002-002-02</x:v>
      </x:c>
      <x:c r="B69" s="54" t="str">
        <x:v>INT-ENC-HSP-002-002-01</x:v>
      </x:c>
      <x:c r="C69" s="54" t="str">
        <x:v>Q-SEVERITY</x:v>
      </x:c>
      <x:c r="D69" s="61" t="str">
        <x:v>How severe is it right now from 0 to 10?</x:v>
      </x:c>
      <x:c r="E69" s="54" t="str">
        <x:v>8</x:v>
      </x:c>
      <x:c r="F69" s="54" t="str">
        <x:v>REPORTED</x:v>
      </x:c>
      <x:c r="G69" s="64" t="n">
        <x:v>46267.350694444445</x:v>
      </x:c>
      <x:c r="H69" s="61" t="str">
        <x:v>Synthetic response</x:v>
      </x:c>
    </x:row>
    <x:row r="70" ht="36" customHeight="1">
      <x:c r="A70" s="54" t="str">
        <x:v>RESP-ENC-HSP-002-002-03</x:v>
      </x:c>
      <x:c r="B70" s="54" t="str">
        <x:v>INT-ENC-HSP-002-002-01</x:v>
      </x:c>
      <x:c r="C70" s="54" t="str">
        <x:v>Q-ASSOCIATED</x:v>
      </x:c>
      <x:c r="D70" s="61" t="str">
        <x:v>What other symptoms are present?</x:v>
      </x:c>
      <x:c r="E70" s="54" t="str">
        <x:v>No additional symptom volunteered</x:v>
      </x:c>
      <x:c r="F70" s="54" t="str">
        <x:v>REPORTED</x:v>
      </x:c>
      <x:c r="G70" s="64" t="n">
        <x:v>46267.35138888889</x:v>
      </x:c>
      <x:c r="H70" s="61" t="str">
        <x:v>Synthetic response</x:v>
      </x:c>
    </x:row>
    <x:row r="71" ht="36" customHeight="1">
      <x:c r="A71" s="54" t="str">
        <x:v>RESP-ENC-HSP-002-002-04</x:v>
      </x:c>
      <x:c r="B71" s="54" t="str">
        <x:v>INT-ENC-HSP-002-002-01</x:v>
      </x:c>
      <x:c r="C71" s="54" t="str">
        <x:v>Q-WORSENING</x:v>
      </x:c>
      <x:c r="D71" s="61" t="str">
        <x:v>Is the problem getting worse?</x:v>
      </x:c>
      <x:c r="E71" s="54" t="str">
        <x:v>Yes</x:v>
      </x:c>
      <x:c r="F71" s="54" t="str">
        <x:v>REPORTED</x:v>
      </x:c>
      <x:c r="G71" s="64" t="n">
        <x:v>46267.35208333333</x:v>
      </x:c>
      <x:c r="H71" s="61" t="str">
        <x:v>Synthetic response</x:v>
      </x:c>
    </x:row>
    <x:row r="72" ht="36" customHeight="1">
      <x:c r="A72" s="54" t="str">
        <x:v>RESP-ENC-HSP-002-002-05</x:v>
      </x:c>
      <x:c r="B72" s="54" t="str">
        <x:v>INT-ENC-HSP-002-002-01</x:v>
      </x:c>
      <x:c r="C72" s="54" t="str">
        <x:v>Q-MEDICATION</x:v>
      </x:c>
      <x:c r="D72" s="61" t="str">
        <x:v>Was any medicine taken for this problem?</x:v>
      </x:c>
      <x:c r="E72" s="54" t="str">
        <x:v>None reported</x:v>
      </x:c>
      <x:c r="F72" s="54" t="str">
        <x:v>REPORTED</x:v>
      </x:c>
      <x:c r="G72" s="64" t="n">
        <x:v>46267.35277777778</x:v>
      </x:c>
      <x:c r="H72" s="61" t="str">
        <x:v>Synthetic response</x:v>
      </x:c>
    </x:row>
    <x:row r="73" ht="36" customHeight="1">
      <x:c r="A73" s="54" t="str">
        <x:v>RESP-ENC-HSP-002-002-06</x:v>
      </x:c>
      <x:c r="B73" s="54" t="str">
        <x:v>INT-ENC-HSP-002-002-01</x:v>
      </x:c>
      <x:c r="C73" s="54" t="str">
        <x:v>Q-ALLERGY</x:v>
      </x:c>
      <x:c r="D73" s="61" t="str">
        <x:v>Are there any known medicine allergies?</x:v>
      </x:c>
      <x:c r="E73" s="54" t="str">
        <x:v>No known allergy reported</x:v>
      </x:c>
      <x:c r="F73" s="54" t="str">
        <x:v>REPORTED</x:v>
      </x:c>
      <x:c r="G73" s="64" t="n">
        <x:v>46267.353472222225</x:v>
      </x:c>
      <x:c r="H73" s="61" t="str">
        <x:v>Synthetic response</x:v>
      </x:c>
    </x:row>
    <x:row r="74" ht="36" customHeight="1">
      <x:c r="A74" s="54" t="str">
        <x:v>RESP-ENC-HSP-002-003-01</x:v>
      </x:c>
      <x:c r="B74" s="54" t="str">
        <x:v>INT-ENC-HSP-002-003-01</x:v>
      </x:c>
      <x:c r="C74" s="54" t="str">
        <x:v>Q-ONSET</x:v>
      </x:c>
      <x:c r="D74" s="61" t="str">
        <x:v>When did the current problem begin?</x:v>
      </x:c>
      <x:c r="E74" s="54" t="str">
        <x:v>Within the last 24 hours</x:v>
      </x:c>
      <x:c r="F74" s="54" t="str">
        <x:v>REPORTED</x:v>
      </x:c>
      <x:c r="G74" s="64" t="n">
        <x:v>46267.35486111111</x:v>
      </x:c>
      <x:c r="H74" s="61" t="str">
        <x:v>Synthetic response</x:v>
      </x:c>
    </x:row>
    <x:row r="75" ht="36" customHeight="1">
      <x:c r="A75" s="54" t="str">
        <x:v>RESP-ENC-HSP-002-003-02</x:v>
      </x:c>
      <x:c r="B75" s="54" t="str">
        <x:v>INT-ENC-HSP-002-003-01</x:v>
      </x:c>
      <x:c r="C75" s="54" t="str">
        <x:v>Q-SEVERITY</x:v>
      </x:c>
      <x:c r="D75" s="61" t="str">
        <x:v>How severe is it right now from 0 to 10?</x:v>
      </x:c>
      <x:c r="E75" s="54" t="str">
        <x:v>8</x:v>
      </x:c>
      <x:c r="F75" s="54" t="str">
        <x:v>REPORTED</x:v>
      </x:c>
      <x:c r="G75" s="64" t="n">
        <x:v>46267.35555555556</x:v>
      </x:c>
      <x:c r="H75" s="61" t="str">
        <x:v>Synthetic response</x:v>
      </x:c>
    </x:row>
    <x:row r="76" ht="36" customHeight="1">
      <x:c r="A76" s="54" t="str">
        <x:v>RESP-ENC-HSP-002-003-03</x:v>
      </x:c>
      <x:c r="B76" s="54" t="str">
        <x:v>INT-ENC-HSP-002-003-01</x:v>
      </x:c>
      <x:c r="C76" s="54" t="str">
        <x:v>Q-ASSOCIATED</x:v>
      </x:c>
      <x:c r="D76" s="61" t="str">
        <x:v>What other symptoms are present?</x:v>
      </x:c>
      <x:c r="E76" s="54" t="str">
        <x:v>No additional symptom volunteered</x:v>
      </x:c>
      <x:c r="F76" s="54" t="str">
        <x:v>REPORTED</x:v>
      </x:c>
      <x:c r="G76" s="64" t="n">
        <x:v>46267.35625</x:v>
      </x:c>
      <x:c r="H76" s="61" t="str">
        <x:v>Synthetic response</x:v>
      </x:c>
    </x:row>
    <x:row r="77" ht="36" customHeight="1">
      <x:c r="A77" s="54" t="str">
        <x:v>RESP-ENC-HSP-002-003-04</x:v>
      </x:c>
      <x:c r="B77" s="54" t="str">
        <x:v>INT-ENC-HSP-002-003-01</x:v>
      </x:c>
      <x:c r="C77" s="54" t="str">
        <x:v>Q-WORSENING</x:v>
      </x:c>
      <x:c r="D77" s="61" t="str">
        <x:v>Is the problem getting worse?</x:v>
      </x:c>
      <x:c r="E77" s="54" t="str">
        <x:v>Yes</x:v>
      </x:c>
      <x:c r="F77" s="54" t="str">
        <x:v>REPORTED</x:v>
      </x:c>
      <x:c r="G77" s="64" t="n">
        <x:v>46267.356944444444</x:v>
      </x:c>
      <x:c r="H77" s="61" t="str">
        <x:v>Synthetic response</x:v>
      </x:c>
    </x:row>
    <x:row r="78" ht="36" customHeight="1">
      <x:c r="A78" s="54" t="str">
        <x:v>RESP-ENC-HSP-002-003-05</x:v>
      </x:c>
      <x:c r="B78" s="54" t="str">
        <x:v>INT-ENC-HSP-002-003-01</x:v>
      </x:c>
      <x:c r="C78" s="54" t="str">
        <x:v>Q-MEDICATION</x:v>
      </x:c>
      <x:c r="D78" s="61" t="str">
        <x:v>Was any medicine taken for this problem?</x:v>
      </x:c>
      <x:c r="E78" s="54" t="str">
        <x:v>Unspecified over-the-counter medicine; verify</x:v>
      </x:c>
      <x:c r="F78" s="54" t="str">
        <x:v>REPORTED</x:v>
      </x:c>
      <x:c r="G78" s="64" t="n">
        <x:v>46267.35763888889</x:v>
      </x:c>
      <x:c r="H78" s="61" t="str">
        <x:v>Synthetic response</x:v>
      </x:c>
    </x:row>
    <x:row r="79" ht="36" customHeight="1">
      <x:c r="A79" s="54" t="str">
        <x:v>RESP-ENC-HSP-002-003-06</x:v>
      </x:c>
      <x:c r="B79" s="54" t="str">
        <x:v>INT-ENC-HSP-002-003-01</x:v>
      </x:c>
      <x:c r="C79" s="54" t="str">
        <x:v>Q-ALLERGY</x:v>
      </x:c>
      <x:c r="D79" s="61" t="str">
        <x:v>Are there any known medicine allergies?</x:v>
      </x:c>
      <x:c r="E79" s="54" t="str">
        <x:v>No known allergy reported</x:v>
      </x:c>
      <x:c r="F79" s="54" t="str">
        <x:v>REPORTED</x:v>
      </x:c>
      <x:c r="G79" s="64" t="n">
        <x:v>46267.35833333333</x:v>
      </x:c>
      <x:c r="H79" s="61" t="str">
        <x:v>Synthetic response</x:v>
      </x:c>
    </x:row>
    <x:row r="80" ht="36" customHeight="1">
      <x:c r="A80" s="54" t="str">
        <x:v>RESP-ENC-HSP-002-004-01</x:v>
      </x:c>
      <x:c r="B80" s="54" t="str">
        <x:v>INT-ENC-HSP-002-004-01</x:v>
      </x:c>
      <x:c r="C80" s="54" t="str">
        <x:v>Q-ONSET</x:v>
      </x:c>
      <x:c r="D80" s="61" t="str">
        <x:v>When did the current problem begin?</x:v>
      </x:c>
      <x:c r="E80" s="54" t="str">
        <x:v>Earlier today</x:v>
      </x:c>
      <x:c r="F80" s="54" t="str">
        <x:v>REPORTED</x:v>
      </x:c>
      <x:c r="G80" s="64" t="n">
        <x:v>46267.40138888889</x:v>
      </x:c>
      <x:c r="H80" s="61" t="str">
        <x:v>Synthetic response</x:v>
      </x:c>
    </x:row>
    <x:row r="81" ht="36" customHeight="1">
      <x:c r="A81" s="54" t="str">
        <x:v>RESP-ENC-HSP-002-004-02</x:v>
      </x:c>
      <x:c r="B81" s="54" t="str">
        <x:v>INT-ENC-HSP-002-004-01</x:v>
      </x:c>
      <x:c r="C81" s="54" t="str">
        <x:v>Q-SEVERITY</x:v>
      </x:c>
      <x:c r="D81" s="61" t="str">
        <x:v>How severe is it right now from 0 to 10?</x:v>
      </x:c>
      <x:c r="E81" s="54" t="str">
        <x:v>8</x:v>
      </x:c>
      <x:c r="F81" s="54" t="str">
        <x:v>REPORTED</x:v>
      </x:c>
      <x:c r="G81" s="64" t="n">
        <x:v>46267.402083333334</x:v>
      </x:c>
      <x:c r="H81" s="61" t="str">
        <x:v>Synthetic response</x:v>
      </x:c>
    </x:row>
    <x:row r="82" ht="36" customHeight="1">
      <x:c r="A82" s="54" t="str">
        <x:v>RESP-ENC-HSP-002-004-03</x:v>
      </x:c>
      <x:c r="B82" s="54" t="str">
        <x:v>INT-ENC-HSP-002-004-01</x:v>
      </x:c>
      <x:c r="C82" s="54" t="str">
        <x:v>Q-ASSOCIATED</x:v>
      </x:c>
      <x:c r="D82" s="61" t="str">
        <x:v>What other symptoms are present?</x:v>
      </x:c>
      <x:c r="E82" s="54" t="str">
        <x:v>No additional symptom volunteered</x:v>
      </x:c>
      <x:c r="F82" s="54" t="str">
        <x:v>REPORTED</x:v>
      </x:c>
      <x:c r="G82" s="64" t="n">
        <x:v>46267.40277777778</x:v>
      </x:c>
      <x:c r="H82" s="61" t="str">
        <x:v>Synthetic response</x:v>
      </x:c>
    </x:row>
    <x:row r="83" ht="36" customHeight="1">
      <x:c r="A83" s="54" t="str">
        <x:v>RESP-ENC-HSP-002-004-04</x:v>
      </x:c>
      <x:c r="B83" s="54" t="str">
        <x:v>INT-ENC-HSP-002-004-01</x:v>
      </x:c>
      <x:c r="C83" s="54" t="str">
        <x:v>Q-WORSENING</x:v>
      </x:c>
      <x:c r="D83" s="61" t="str">
        <x:v>Is the problem getting worse?</x:v>
      </x:c>
      <x:c r="E83" s="54" t="str">
        <x:v>Yes</x:v>
      </x:c>
      <x:c r="F83" s="54" t="str">
        <x:v>REPORTED</x:v>
      </x:c>
      <x:c r="G83" s="64" t="n">
        <x:v>46267.40347222222</x:v>
      </x:c>
      <x:c r="H83" s="61" t="str">
        <x:v>Synthetic response</x:v>
      </x:c>
    </x:row>
    <x:row r="84" ht="36" customHeight="1">
      <x:c r="A84" s="54" t="str">
        <x:v>RESP-ENC-HSP-002-004-05</x:v>
      </x:c>
      <x:c r="B84" s="54" t="str">
        <x:v>INT-ENC-HSP-002-004-01</x:v>
      </x:c>
      <x:c r="C84" s="54" t="str">
        <x:v>Q-MEDICATION</x:v>
      </x:c>
      <x:c r="D84" s="61" t="str">
        <x:v>Was any medicine taken for this problem?</x:v>
      </x:c>
      <x:c r="E84" s="54" t="str">
        <x:v>None reported</x:v>
      </x:c>
      <x:c r="F84" s="54" t="str">
        <x:v>REPORTED</x:v>
      </x:c>
      <x:c r="G84" s="64" t="n">
        <x:v>46267.40416666667</x:v>
      </x:c>
      <x:c r="H84" s="61" t="str">
        <x:v>Synthetic response</x:v>
      </x:c>
    </x:row>
    <x:row r="85" ht="36" customHeight="1">
      <x:c r="A85" s="54" t="str">
        <x:v>RESP-ENC-HSP-002-004-06</x:v>
      </x:c>
      <x:c r="B85" s="54" t="str">
        <x:v>INT-ENC-HSP-002-004-01</x:v>
      </x:c>
      <x:c r="C85" s="54" t="str">
        <x:v>Q-ALLERGY</x:v>
      </x:c>
      <x:c r="D85" s="61" t="str">
        <x:v>Are there any known medicine allergies?</x:v>
      </x:c>
      <x:c r="E85" s="54" t="str">
        <x:v>No known allergy reported</x:v>
      </x:c>
      <x:c r="F85" s="54" t="str">
        <x:v>REPORTED</x:v>
      </x:c>
      <x:c r="G85" s="64" t="n">
        <x:v>46267.404861111114</x:v>
      </x:c>
      <x:c r="H85" s="61" t="str">
        <x:v>Synthetic response</x:v>
      </x:c>
    </x:row>
    <x:row r="86" ht="36" customHeight="1">
      <x:c r="A86" s="54" t="str">
        <x:v>RESP-ENC-HSP-002-005-01</x:v>
      </x:c>
      <x:c r="B86" s="54" t="str">
        <x:v>INT-ENC-HSP-002-005-01</x:v>
      </x:c>
      <x:c r="C86" s="54" t="str">
        <x:v>Q-ONSET</x:v>
      </x:c>
      <x:c r="D86" s="61" t="str">
        <x:v>When did the current problem begin?</x:v>
      </x:c>
      <x:c r="E86" s="54" t="str">
        <x:v>Within the last 24 hours</x:v>
      </x:c>
      <x:c r="F86" s="54" t="str">
        <x:v>REPORTED</x:v>
      </x:c>
      <x:c r="G86" s="64" t="n">
        <x:v>46267.40625</x:v>
      </x:c>
      <x:c r="H86" s="61" t="str">
        <x:v>Synthetic response</x:v>
      </x:c>
    </x:row>
    <x:row r="87" ht="36" customHeight="1">
      <x:c r="A87" s="54" t="str">
        <x:v>RESP-ENC-HSP-002-005-02</x:v>
      </x:c>
      <x:c r="B87" s="54" t="str">
        <x:v>INT-ENC-HSP-002-005-01</x:v>
      </x:c>
      <x:c r="C87" s="54" t="str">
        <x:v>Q-SEVERITY</x:v>
      </x:c>
      <x:c r="D87" s="61" t="str">
        <x:v>How severe is it right now from 0 to 10?</x:v>
      </x:c>
      <x:c r="E87" s="54" t="str">
        <x:v>7</x:v>
      </x:c>
      <x:c r="F87" s="54" t="str">
        <x:v>REPORTED</x:v>
      </x:c>
      <x:c r="G87" s="64" t="n">
        <x:v>46267.40694444445</x:v>
      </x:c>
      <x:c r="H87" s="61" t="str">
        <x:v>Synthetic response</x:v>
      </x:c>
    </x:row>
    <x:row r="88" ht="36" customHeight="1">
      <x:c r="A88" s="54" t="str">
        <x:v>RESP-ENC-HSP-002-005-03</x:v>
      </x:c>
      <x:c r="B88" s="54" t="str">
        <x:v>INT-ENC-HSP-002-005-01</x:v>
      </x:c>
      <x:c r="C88" s="54" t="str">
        <x:v>Q-ASSOCIATED</x:v>
      </x:c>
      <x:c r="D88" s="61" t="str">
        <x:v>What other symptoms are present?</x:v>
      </x:c>
      <x:c r="E88" s="54" t="str">
        <x:v>No additional symptom volunteered</x:v>
      </x:c>
      <x:c r="F88" s="54" t="str">
        <x:v>REPORTED</x:v>
      </x:c>
      <x:c r="G88" s="64" t="n">
        <x:v>46267.407638888886</x:v>
      </x:c>
      <x:c r="H88" s="61" t="str">
        <x:v>Synthetic response</x:v>
      </x:c>
    </x:row>
    <x:row r="89" ht="36" customHeight="1">
      <x:c r="A89" s="54" t="str">
        <x:v>RESP-ENC-HSP-002-005-04</x:v>
      </x:c>
      <x:c r="B89" s="54" t="str">
        <x:v>INT-ENC-HSP-002-005-01</x:v>
      </x:c>
      <x:c r="C89" s="54" t="str">
        <x:v>Q-WORSENING</x:v>
      </x:c>
      <x:c r="D89" s="61" t="str">
        <x:v>Is the problem getting worse?</x:v>
      </x:c>
      <x:c r="E89" s="54" t="str">
        <x:v>No</x:v>
      </x:c>
      <x:c r="F89" s="54" t="str">
        <x:v>REPORTED</x:v>
      </x:c>
      <x:c r="G89" s="64" t="n">
        <x:v>46267.40833333333</x:v>
      </x:c>
      <x:c r="H89" s="61" t="str">
        <x:v>Synthetic response</x:v>
      </x:c>
    </x:row>
    <x:row r="90" ht="36" customHeight="1">
      <x:c r="A90" s="54" t="str">
        <x:v>RESP-ENC-HSP-002-005-05</x:v>
      </x:c>
      <x:c r="B90" s="54" t="str">
        <x:v>INT-ENC-HSP-002-005-01</x:v>
      </x:c>
      <x:c r="C90" s="54" t="str">
        <x:v>Q-MEDICATION</x:v>
      </x:c>
      <x:c r="D90" s="61" t="str">
        <x:v>Was any medicine taken for this problem?</x:v>
      </x:c>
      <x:c r="E90" s="54" t="str">
        <x:v>None reported</x:v>
      </x:c>
      <x:c r="F90" s="54" t="str">
        <x:v>REPORTED</x:v>
      </x:c>
      <x:c r="G90" s="64" t="n">
        <x:v>46267.40902777778</x:v>
      </x:c>
      <x:c r="H90" s="61" t="str">
        <x:v>Synthetic response</x:v>
      </x:c>
    </x:row>
    <x:row r="91" ht="36" customHeight="1">
      <x:c r="A91" s="54" t="str">
        <x:v>RESP-ENC-HSP-002-005-06</x:v>
      </x:c>
      <x:c r="B91" s="54" t="str">
        <x:v>INT-ENC-HSP-002-005-01</x:v>
      </x:c>
      <x:c r="C91" s="54" t="str">
        <x:v>Q-ALLERGY</x:v>
      </x:c>
      <x:c r="D91" s="61" t="str">
        <x:v>Are there any known medicine allergies?</x:v>
      </x:c>
      <x:c r="E91" s="54" t="str">
        <x:v>No known allergy reported</x:v>
      </x:c>
      <x:c r="F91" s="54" t="str">
        <x:v>REPORTED</x:v>
      </x:c>
      <x:c r="G91" s="64" t="n">
        <x:v>46267.40972222222</x:v>
      </x:c>
      <x:c r="H91" s="61" t="str">
        <x:v>Synthetic response</x:v>
      </x:c>
    </x:row>
    <x:row r="92" ht="36" customHeight="1">
      <x:c r="A92" s="54" t="str">
        <x:v>RESP-ENC-HSP-002-006-01</x:v>
      </x:c>
      <x:c r="B92" s="54" t="str">
        <x:v>INT-ENC-HSP-002-006-01</x:v>
      </x:c>
      <x:c r="C92" s="54" t="str">
        <x:v>Q-ONSET</x:v>
      </x:c>
      <x:c r="D92" s="61" t="str">
        <x:v>When did the current problem begin?</x:v>
      </x:c>
      <x:c r="E92" s="54" t="str">
        <x:v>Earlier today</x:v>
      </x:c>
      <x:c r="F92" s="54" t="str">
        <x:v>REPORTED</x:v>
      </x:c>
      <x:c r="G92" s="64" t="n">
        <x:v>46267.41111111111</x:v>
      </x:c>
      <x:c r="H92" s="61" t="str">
        <x:v>Synthetic response</x:v>
      </x:c>
    </x:row>
    <x:row r="93" ht="36" customHeight="1">
      <x:c r="A93" s="54" t="str">
        <x:v>RESP-ENC-HSP-002-006-02</x:v>
      </x:c>
      <x:c r="B93" s="54" t="str">
        <x:v>INT-ENC-HSP-002-006-01</x:v>
      </x:c>
      <x:c r="C93" s="54" t="str">
        <x:v>Q-SEVERITY</x:v>
      </x:c>
      <x:c r="D93" s="61" t="str">
        <x:v>How severe is it right now from 0 to 10?</x:v>
      </x:c>
      <x:c r="E93" s="54" t="str">
        <x:v>7</x:v>
      </x:c>
      <x:c r="F93" s="54" t="str">
        <x:v>REPORTED</x:v>
      </x:c>
      <x:c r="G93" s="64" t="n">
        <x:v>46267.41180555556</x:v>
      </x:c>
      <x:c r="H93" s="61" t="str">
        <x:v>Synthetic response</x:v>
      </x:c>
    </x:row>
    <x:row r="94" ht="36" customHeight="1">
      <x:c r="A94" s="54" t="str">
        <x:v>RESP-ENC-HSP-002-006-03</x:v>
      </x:c>
      <x:c r="B94" s="54" t="str">
        <x:v>INT-ENC-HSP-002-006-01</x:v>
      </x:c>
      <x:c r="C94" s="54" t="str">
        <x:v>Q-ASSOCIATED</x:v>
      </x:c>
      <x:c r="D94" s="61" t="str">
        <x:v>What other symptoms are present?</x:v>
      </x:c>
      <x:c r="E94" s="54" t="str">
        <x:v>No additional symptom volunteered</x:v>
      </x:c>
      <x:c r="F94" s="54" t="str">
        <x:v>REPORTED</x:v>
      </x:c>
      <x:c r="G94" s="64" t="n">
        <x:v>46267.4125</x:v>
      </x:c>
      <x:c r="H94" s="61" t="str">
        <x:v>Synthetic response</x:v>
      </x:c>
    </x:row>
    <x:row r="95" ht="36" customHeight="1">
      <x:c r="A95" s="54" t="str">
        <x:v>RESP-ENC-HSP-002-006-04</x:v>
      </x:c>
      <x:c r="B95" s="54" t="str">
        <x:v>INT-ENC-HSP-002-006-01</x:v>
      </x:c>
      <x:c r="C95" s="54" t="str">
        <x:v>Q-WORSENING</x:v>
      </x:c>
      <x:c r="D95" s="61" t="str">
        <x:v>Is the problem getting worse?</x:v>
      </x:c>
      <x:c r="E95" s="54" t="str">
        <x:v>No</x:v>
      </x:c>
      <x:c r="F95" s="54" t="str">
        <x:v>REPORTED</x:v>
      </x:c>
      <x:c r="G95" s="64" t="n">
        <x:v>46267.413194444445</x:v>
      </x:c>
      <x:c r="H95" s="61" t="str">
        <x:v>Synthetic response</x:v>
      </x:c>
    </x:row>
    <x:row r="96" ht="36" customHeight="1">
      <x:c r="A96" s="54" t="str">
        <x:v>RESP-ENC-HSP-002-006-05</x:v>
      </x:c>
      <x:c r="B96" s="54" t="str">
        <x:v>INT-ENC-HSP-002-006-01</x:v>
      </x:c>
      <x:c r="C96" s="54" t="str">
        <x:v>Q-MEDICATION</x:v>
      </x:c>
      <x:c r="D96" s="61" t="str">
        <x:v>Was any medicine taken for this problem?</x:v>
      </x:c>
      <x:c r="E96" s="54" t="str">
        <x:v>Unspecified over-the-counter medicine; verify</x:v>
      </x:c>
      <x:c r="F96" s="54" t="str">
        <x:v>REPORTED</x:v>
      </x:c>
      <x:c r="G96" s="64" t="n">
        <x:v>46267.41388888889</x:v>
      </x:c>
      <x:c r="H96" s="61" t="str">
        <x:v>Synthetic response</x:v>
      </x:c>
    </x:row>
    <x:row r="97" ht="36" customHeight="1">
      <x:c r="A97" s="54" t="str">
        <x:v>RESP-ENC-HSP-002-006-06</x:v>
      </x:c>
      <x:c r="B97" s="54" t="str">
        <x:v>INT-ENC-HSP-002-006-01</x:v>
      </x:c>
      <x:c r="C97" s="54" t="str">
        <x:v>Q-ALLERGY</x:v>
      </x:c>
      <x:c r="D97" s="61" t="str">
        <x:v>Are there any known medicine allergies?</x:v>
      </x:c>
      <x:c r="E97" s="54" t="str">
        <x:v>No known allergy reported</x:v>
      </x:c>
      <x:c r="F97" s="54" t="str">
        <x:v>REPORTED</x:v>
      </x:c>
      <x:c r="G97" s="64" t="n">
        <x:v>46267.41458333333</x:v>
      </x:c>
      <x:c r="H97" s="61" t="str">
        <x:v>Synthetic response</x:v>
      </x:c>
    </x:row>
    <x:row r="98" ht="36" customHeight="1">
      <x:c r="A98" s="54" t="str">
        <x:v>RESP-ENC-HSP-002-007-01</x:v>
      </x:c>
      <x:c r="B98" s="54" t="str">
        <x:v>INT-ENC-HSP-002-007-01</x:v>
      </x:c>
      <x:c r="C98" s="54" t="str">
        <x:v>Q-ONSET</x:v>
      </x:c>
      <x:c r="D98" s="61" t="str">
        <x:v>When did the current problem begin?</x:v>
      </x:c>
      <x:c r="E98" s="54" t="str">
        <x:v>Within the last 24 hours</x:v>
      </x:c>
      <x:c r="F98" s="54" t="str">
        <x:v>REPORTED</x:v>
      </x:c>
      <x:c r="G98" s="64" t="n">
        <x:v>46267.415972222225</x:v>
      </x:c>
      <x:c r="H98" s="61" t="str">
        <x:v>Synthetic response</x:v>
      </x:c>
    </x:row>
    <x:row r="99" ht="36" customHeight="1">
      <x:c r="A99" s="54" t="str">
        <x:v>RESP-ENC-HSP-002-007-02</x:v>
      </x:c>
      <x:c r="B99" s="54" t="str">
        <x:v>INT-ENC-HSP-002-007-01</x:v>
      </x:c>
      <x:c r="C99" s="54" t="str">
        <x:v>Q-SEVERITY</x:v>
      </x:c>
      <x:c r="D99" s="61" t="str">
        <x:v>How severe is it right now from 0 to 10?</x:v>
      </x:c>
      <x:c r="E99" s="54" t="str">
        <x:v>7</x:v>
      </x:c>
      <x:c r="F99" s="54" t="str">
        <x:v>REPORTED</x:v>
      </x:c>
      <x:c r="G99" s="64" t="n">
        <x:v>46267.416666666664</x:v>
      </x:c>
      <x:c r="H99" s="61" t="str">
        <x:v>Synthetic response</x:v>
      </x:c>
    </x:row>
    <x:row r="100" ht="36" customHeight="1">
      <x:c r="A100" s="54" t="str">
        <x:v>RESP-ENC-HSP-002-007-03</x:v>
      </x:c>
      <x:c r="B100" s="54" t="str">
        <x:v>INT-ENC-HSP-002-007-01</x:v>
      </x:c>
      <x:c r="C100" s="54" t="str">
        <x:v>Q-ASSOCIATED</x:v>
      </x:c>
      <x:c r="D100" s="61" t="str">
        <x:v>What other symptoms are present?</x:v>
      </x:c>
      <x:c r="E100" s="54" t="str">
        <x:v>Fever and fatigue</x:v>
      </x:c>
      <x:c r="F100" s="54" t="str">
        <x:v>REPORTED</x:v>
      </x:c>
      <x:c r="G100" s="64" t="n">
        <x:v>46267.41736111111</x:v>
      </x:c>
      <x:c r="H100" s="61" t="str">
        <x:v>Synthetic response</x:v>
      </x:c>
    </x:row>
    <x:row r="101" ht="36" customHeight="1">
      <x:c r="A101" s="54" t="str">
        <x:v>RESP-ENC-HSP-002-007-04</x:v>
      </x:c>
      <x:c r="B101" s="54" t="str">
        <x:v>INT-ENC-HSP-002-007-01</x:v>
      </x:c>
      <x:c r="C101" s="54" t="str">
        <x:v>Q-WORSENING</x:v>
      </x:c>
      <x:c r="D101" s="61" t="str">
        <x:v>Is the problem getting worse?</x:v>
      </x:c>
      <x:c r="E101" s="54" t="str">
        <x:v>No</x:v>
      </x:c>
      <x:c r="F101" s="54" t="str">
        <x:v>REPORTED</x:v>
      </x:c>
      <x:c r="G101" s="64" t="n">
        <x:v>46267.41805555556</x:v>
      </x:c>
      <x:c r="H101" s="61" t="str">
        <x:v>Synthetic response</x:v>
      </x:c>
    </x:row>
    <x:row r="102" ht="36" customHeight="1">
      <x:c r="A102" s="54" t="str">
        <x:v>RESP-ENC-HSP-002-007-05</x:v>
      </x:c>
      <x:c r="B102" s="54" t="str">
        <x:v>INT-ENC-HSP-002-007-01</x:v>
      </x:c>
      <x:c r="C102" s="54" t="str">
        <x:v>Q-MEDICATION</x:v>
      </x:c>
      <x:c r="D102" s="61" t="str">
        <x:v>Was any medicine taken for this problem?</x:v>
      </x:c>
      <x:c r="E102" s="54" t="str">
        <x:v>None reported</x:v>
      </x:c>
      <x:c r="F102" s="54" t="str">
        <x:v>REPORTED</x:v>
      </x:c>
      <x:c r="G102" s="64" t="n">
        <x:v>46267.41875</x:v>
      </x:c>
      <x:c r="H102" s="61" t="str">
        <x:v>Synthetic response</x:v>
      </x:c>
    </x:row>
    <x:row r="103" ht="36" customHeight="1">
      <x:c r="A103" s="54" t="str">
        <x:v>RESP-ENC-HSP-002-007-06</x:v>
      </x:c>
      <x:c r="B103" s="54" t="str">
        <x:v>INT-ENC-HSP-002-007-01</x:v>
      </x:c>
      <x:c r="C103" s="54" t="str">
        <x:v>Q-ALLERGY</x:v>
      </x:c>
      <x:c r="D103" s="61" t="str">
        <x:v>Are there any known medicine allergies?</x:v>
      </x:c>
      <x:c r="E103" s="54" t="str">
        <x:v>No known allergy reported</x:v>
      </x:c>
      <x:c r="F103" s="54" t="str">
        <x:v>REPORTED</x:v>
      </x:c>
      <x:c r="G103" s="64" t="n">
        <x:v>46267.419444444444</x:v>
      </x:c>
      <x:c r="H103" s="61" t="str">
        <x:v>Synthetic response</x:v>
      </x:c>
    </x:row>
    <x:row r="104" ht="36" customHeight="1">
      <x:c r="A104" s="54" t="str">
        <x:v>RESP-ENC-HSP-002-008-01</x:v>
      </x:c>
      <x:c r="B104" s="54" t="str">
        <x:v>INT-ENC-HSP-002-008-01</x:v>
      </x:c>
      <x:c r="C104" s="54" t="str">
        <x:v>Q-ONSET</x:v>
      </x:c>
      <x:c r="D104" s="61" t="str">
        <x:v>When did the current problem begin?</x:v>
      </x:c>
      <x:c r="E104" s="54" t="str">
        <x:v>Earlier today</x:v>
      </x:c>
      <x:c r="F104" s="54" t="str">
        <x:v>REPORTED</x:v>
      </x:c>
      <x:c r="G104" s="64" t="n">
        <x:v>46267.4625</x:v>
      </x:c>
      <x:c r="H104" s="61" t="str">
        <x:v>Synthetic response</x:v>
      </x:c>
    </x:row>
    <x:row r="105" ht="36" customHeight="1">
      <x:c r="A105" s="54" t="str">
        <x:v>RESP-ENC-HSP-002-008-02</x:v>
      </x:c>
      <x:c r="B105" s="54" t="str">
        <x:v>INT-ENC-HSP-002-008-01</x:v>
      </x:c>
      <x:c r="C105" s="54" t="str">
        <x:v>Q-SEVERITY</x:v>
      </x:c>
      <x:c r="D105" s="61" t="str">
        <x:v>How severe is it right now from 0 to 10?</x:v>
      </x:c>
      <x:c r="E105" s="54" t="str">
        <x:v>7</x:v>
      </x:c>
      <x:c r="F105" s="54" t="str">
        <x:v>REPORTED</x:v>
      </x:c>
      <x:c r="G105" s="64" t="n">
        <x:v>46267.46319444444</x:v>
      </x:c>
      <x:c r="H105" s="61" t="str">
        <x:v>Synthetic response</x:v>
      </x:c>
    </x:row>
    <x:row r="106" ht="36" customHeight="1">
      <x:c r="A106" s="54" t="str">
        <x:v>RESP-ENC-HSP-002-008-03</x:v>
      </x:c>
      <x:c r="B106" s="54" t="str">
        <x:v>INT-ENC-HSP-002-008-01</x:v>
      </x:c>
      <x:c r="C106" s="54" t="str">
        <x:v>Q-ASSOCIATED</x:v>
      </x:c>
      <x:c r="D106" s="61" t="str">
        <x:v>What other symptoms are present?</x:v>
      </x:c>
      <x:c r="E106" s="54" t="str">
        <x:v>No additional symptom volunteered</x:v>
      </x:c>
      <x:c r="F106" s="54" t="str">
        <x:v>REPORTED</x:v>
      </x:c>
      <x:c r="G106" s="64" t="n">
        <x:v>46267.46388888889</x:v>
      </x:c>
      <x:c r="H106" s="61" t="str">
        <x:v>Synthetic response</x:v>
      </x:c>
    </x:row>
    <x:row r="107" ht="36" customHeight="1">
      <x:c r="A107" s="54" t="str">
        <x:v>RESP-ENC-HSP-002-008-04</x:v>
      </x:c>
      <x:c r="B107" s="54" t="str">
        <x:v>INT-ENC-HSP-002-008-01</x:v>
      </x:c>
      <x:c r="C107" s="54" t="str">
        <x:v>Q-WORSENING</x:v>
      </x:c>
      <x:c r="D107" s="61" t="str">
        <x:v>Is the problem getting worse?</x:v>
      </x:c>
      <x:c r="E107" s="54" t="str">
        <x:v>No</x:v>
      </x:c>
      <x:c r="F107" s="54" t="str">
        <x:v>REPORTED</x:v>
      </x:c>
      <x:c r="G107" s="64" t="n">
        <x:v>46267.464583333334</x:v>
      </x:c>
      <x:c r="H107" s="61" t="str">
        <x:v>Synthetic response</x:v>
      </x:c>
    </x:row>
    <x:row r="108" ht="36" customHeight="1">
      <x:c r="A108" s="54" t="str">
        <x:v>RESP-ENC-HSP-002-008-05</x:v>
      </x:c>
      <x:c r="B108" s="54" t="str">
        <x:v>INT-ENC-HSP-002-008-01</x:v>
      </x:c>
      <x:c r="C108" s="54" t="str">
        <x:v>Q-MEDICATION</x:v>
      </x:c>
      <x:c r="D108" s="61" t="str">
        <x:v>Was any medicine taken for this problem?</x:v>
      </x:c>
      <x:c r="E108" s="54" t="str">
        <x:v>None reported</x:v>
      </x:c>
      <x:c r="F108" s="54" t="str">
        <x:v>REPORTED</x:v>
      </x:c>
      <x:c r="G108" s="64" t="n">
        <x:v>46267.46527777778</x:v>
      </x:c>
      <x:c r="H108" s="61" t="str">
        <x:v>Synthetic response</x:v>
      </x:c>
    </x:row>
    <x:row r="109" ht="36" customHeight="1">
      <x:c r="A109" s="54" t="str">
        <x:v>RESP-ENC-HSP-002-008-06</x:v>
      </x:c>
      <x:c r="B109" s="54" t="str">
        <x:v>INT-ENC-HSP-002-008-01</x:v>
      </x:c>
      <x:c r="C109" s="54" t="str">
        <x:v>Q-ALLERGY</x:v>
      </x:c>
      <x:c r="D109" s="61" t="str">
        <x:v>Are there any known medicine allergies?</x:v>
      </x:c>
      <x:c r="E109" s="54" t="str">
        <x:v>No known allergy reported</x:v>
      </x:c>
      <x:c r="F109" s="54" t="str">
        <x:v>REPORTED</x:v>
      </x:c>
      <x:c r="G109" s="64" t="n">
        <x:v>46267.46597222222</x:v>
      </x:c>
      <x:c r="H109" s="61" t="str">
        <x:v>Synthetic response</x:v>
      </x:c>
    </x:row>
    <x:row r="110" ht="36" customHeight="1">
      <x:c r="A110" s="54" t="str">
        <x:v>RESP-ENC-HSP-002-009-01</x:v>
      </x:c>
      <x:c r="B110" s="54" t="str">
        <x:v>INT-ENC-HSP-002-009-01</x:v>
      </x:c>
      <x:c r="C110" s="54" t="str">
        <x:v>Q-ONSET</x:v>
      </x:c>
      <x:c r="D110" s="61" t="str">
        <x:v>When did the current problem begin?</x:v>
      </x:c>
      <x:c r="E110" s="54" t="str">
        <x:v>Within the last 24 hours</x:v>
      </x:c>
      <x:c r="F110" s="54" t="str">
        <x:v>REPORTED</x:v>
      </x:c>
      <x:c r="G110" s="64" t="n">
        <x:v>46267.42569444444</x:v>
      </x:c>
      <x:c r="H110" s="61" t="str">
        <x:v>Synthetic response</x:v>
      </x:c>
    </x:row>
    <x:row r="111" ht="36" customHeight="1">
      <x:c r="A111" s="54" t="str">
        <x:v>RESP-ENC-HSP-002-009-02</x:v>
      </x:c>
      <x:c r="B111" s="54" t="str">
        <x:v>INT-ENC-HSP-002-009-01</x:v>
      </x:c>
      <x:c r="C111" s="54" t="str">
        <x:v>Q-SEVERITY</x:v>
      </x:c>
      <x:c r="D111" s="61" t="str">
        <x:v>How severe is it right now from 0 to 10?</x:v>
      </x:c>
      <x:c r="E111" s="54" t="str">
        <x:v>7</x:v>
      </x:c>
      <x:c r="F111" s="54" t="str">
        <x:v>REPORTED</x:v>
      </x:c>
      <x:c r="G111" s="64" t="n">
        <x:v>46267.42638888889</x:v>
      </x:c>
      <x:c r="H111" s="61" t="str">
        <x:v>Synthetic response</x:v>
      </x:c>
    </x:row>
    <x:row r="112" ht="36" customHeight="1">
      <x:c r="A112" s="54" t="str">
        <x:v>RESP-ENC-HSP-002-009-03</x:v>
      </x:c>
      <x:c r="B112" s="54" t="str">
        <x:v>INT-ENC-HSP-002-009-01</x:v>
      </x:c>
      <x:c r="C112" s="54" t="str">
        <x:v>Q-ASSOCIATED</x:v>
      </x:c>
      <x:c r="D112" s="61" t="str">
        <x:v>What other symptoms are present?</x:v>
      </x:c>
      <x:c r="E112" s="54" t="str">
        <x:v>No additional symptom volunteered</x:v>
      </x:c>
      <x:c r="F112" s="54" t="str">
        <x:v>REPORTED</x:v>
      </x:c>
      <x:c r="G112" s="64" t="n">
        <x:v>46267.427083333336</x:v>
      </x:c>
      <x:c r="H112" s="61" t="str">
        <x:v>Synthetic response</x:v>
      </x:c>
    </x:row>
    <x:row r="113" ht="36" customHeight="1">
      <x:c r="A113" s="54" t="str">
        <x:v>RESP-ENC-HSP-002-009-04</x:v>
      </x:c>
      <x:c r="B113" s="54" t="str">
        <x:v>INT-ENC-HSP-002-009-01</x:v>
      </x:c>
      <x:c r="C113" s="54" t="str">
        <x:v>Q-WORSENING</x:v>
      </x:c>
      <x:c r="D113" s="61" t="str">
        <x:v>Is the problem getting worse?</x:v>
      </x:c>
      <x:c r="E113" s="54" t="str">
        <x:v>No</x:v>
      </x:c>
      <x:c r="F113" s="54" t="str">
        <x:v>REPORTED</x:v>
      </x:c>
      <x:c r="G113" s="64" t="n">
        <x:v>46267.427777777775</x:v>
      </x:c>
      <x:c r="H113" s="61" t="str">
        <x:v>Synthetic response</x:v>
      </x:c>
    </x:row>
    <x:row r="114" ht="36" customHeight="1">
      <x:c r="A114" s="54" t="str">
        <x:v>RESP-ENC-HSP-002-009-05</x:v>
      </x:c>
      <x:c r="B114" s="54" t="str">
        <x:v>INT-ENC-HSP-002-009-01</x:v>
      </x:c>
      <x:c r="C114" s="54" t="str">
        <x:v>Q-MEDICATION</x:v>
      </x:c>
      <x:c r="D114" s="61" t="str">
        <x:v>Was any medicine taken for this problem?</x:v>
      </x:c>
      <x:c r="E114" s="54" t="str">
        <x:v>Unspecified over-the-counter medicine; verify</x:v>
      </x:c>
      <x:c r="F114" s="54" t="str">
        <x:v>REPORTED</x:v>
      </x:c>
      <x:c r="G114" s="64" t="n">
        <x:v>46267.42847222222</x:v>
      </x:c>
      <x:c r="H114" s="61" t="str">
        <x:v>Synthetic response</x:v>
      </x:c>
    </x:row>
    <x:row r="115" ht="36" customHeight="1">
      <x:c r="A115" s="54" t="str">
        <x:v>RESP-ENC-HSP-002-009-06</x:v>
      </x:c>
      <x:c r="B115" s="54" t="str">
        <x:v>INT-ENC-HSP-002-009-01</x:v>
      </x:c>
      <x:c r="C115" s="54" t="str">
        <x:v>Q-ALLERGY</x:v>
      </x:c>
      <x:c r="D115" s="61" t="str">
        <x:v>Are there any known medicine allergies?</x:v>
      </x:c>
      <x:c r="E115" s="54" t="str">
        <x:v>No known allergy reported</x:v>
      </x:c>
      <x:c r="F115" s="54" t="str">
        <x:v>REPORTED</x:v>
      </x:c>
      <x:c r="G115" s="64" t="n">
        <x:v>46267.42916666667</x:v>
      </x:c>
      <x:c r="H115" s="61" t="str">
        <x:v>Synthetic response</x:v>
      </x:c>
    </x:row>
    <x:row r="116" ht="36" customHeight="1">
      <x:c r="A116" s="54" t="str">
        <x:v>RESP-ENC-HSP-002-010-01</x:v>
      </x:c>
      <x:c r="B116" s="54" t="str">
        <x:v>INT-ENC-HSP-002-010-01</x:v>
      </x:c>
      <x:c r="C116" s="54" t="str">
        <x:v>Q-ONSET</x:v>
      </x:c>
      <x:c r="D116" s="61" t="str">
        <x:v>When did the current problem begin?</x:v>
      </x:c>
      <x:c r="E116" s="54" t="str">
        <x:v>Earlier today</x:v>
      </x:c>
      <x:c r="F116" s="54" t="str">
        <x:v>REPORTED</x:v>
      </x:c>
      <x:c r="G116" s="64" t="n">
        <x:v>46267.430555555555</x:v>
      </x:c>
      <x:c r="H116" s="61" t="str">
        <x:v>Synthetic response</x:v>
      </x:c>
    </x:row>
    <x:row r="117" ht="36" customHeight="1">
      <x:c r="A117" s="54" t="str">
        <x:v>RESP-ENC-HSP-002-010-02</x:v>
      </x:c>
      <x:c r="B117" s="54" t="str">
        <x:v>INT-ENC-HSP-002-010-01</x:v>
      </x:c>
      <x:c r="C117" s="54" t="str">
        <x:v>Q-SEVERITY</x:v>
      </x:c>
      <x:c r="D117" s="61" t="str">
        <x:v>How severe is it right now from 0 to 10?</x:v>
      </x:c>
      <x:c r="E117" s="54" t="str">
        <x:v>7</x:v>
      </x:c>
      <x:c r="F117" s="54" t="str">
        <x:v>REPORTED</x:v>
      </x:c>
      <x:c r="G117" s="64" t="n">
        <x:v>46267.43125</x:v>
      </x:c>
      <x:c r="H117" s="61" t="str">
        <x:v>Synthetic response</x:v>
      </x:c>
    </x:row>
    <x:row r="118" ht="36" customHeight="1">
      <x:c r="A118" s="54" t="str">
        <x:v>RESP-ENC-HSP-002-010-03</x:v>
      </x:c>
      <x:c r="B118" s="54" t="str">
        <x:v>INT-ENC-HSP-002-010-01</x:v>
      </x:c>
      <x:c r="C118" s="54" t="str">
        <x:v>Q-ASSOCIATED</x:v>
      </x:c>
      <x:c r="D118" s="61" t="str">
        <x:v>What other symptoms are present?</x:v>
      </x:c>
      <x:c r="E118" s="54" t="str">
        <x:v>No additional symptom volunteered</x:v>
      </x:c>
      <x:c r="F118" s="54" t="str">
        <x:v>REPORTED</x:v>
      </x:c>
      <x:c r="G118" s="64" t="n">
        <x:v>46267.43194444444</x:v>
      </x:c>
      <x:c r="H118" s="61" t="str">
        <x:v>Synthetic response</x:v>
      </x:c>
    </x:row>
    <x:row r="119" ht="36" customHeight="1">
      <x:c r="A119" s="54" t="str">
        <x:v>RESP-ENC-HSP-002-010-04</x:v>
      </x:c>
      <x:c r="B119" s="54" t="str">
        <x:v>INT-ENC-HSP-002-010-01</x:v>
      </x:c>
      <x:c r="C119" s="54" t="str">
        <x:v>Q-WORSENING</x:v>
      </x:c>
      <x:c r="D119" s="61" t="str">
        <x:v>Is the problem getting worse?</x:v>
      </x:c>
      <x:c r="E119" s="54" t="str">
        <x:v>No</x:v>
      </x:c>
      <x:c r="F119" s="54" t="str">
        <x:v>REPORTED</x:v>
      </x:c>
      <x:c r="G119" s="64" t="n">
        <x:v>46267.43263888889</x:v>
      </x:c>
      <x:c r="H119" s="61" t="str">
        <x:v>Synthetic response</x:v>
      </x:c>
    </x:row>
    <x:row r="120" ht="36" customHeight="1">
      <x:c r="A120" s="54" t="str">
        <x:v>RESP-ENC-HSP-002-010-05</x:v>
      </x:c>
      <x:c r="B120" s="54" t="str">
        <x:v>INT-ENC-HSP-002-010-01</x:v>
      </x:c>
      <x:c r="C120" s="54" t="str">
        <x:v>Q-MEDICATION</x:v>
      </x:c>
      <x:c r="D120" s="61" t="str">
        <x:v>Was any medicine taken for this problem?</x:v>
      </x:c>
      <x:c r="E120" s="54" t="str">
        <x:v>None reported</x:v>
      </x:c>
      <x:c r="F120" s="54" t="str">
        <x:v>REPORTED</x:v>
      </x:c>
      <x:c r="G120" s="64" t="n">
        <x:v>46267.433333333334</x:v>
      </x:c>
      <x:c r="H120" s="61" t="str">
        <x:v>Synthetic response</x:v>
      </x:c>
    </x:row>
    <x:row r="121" ht="36" customHeight="1">
      <x:c r="A121" s="54" t="str">
        <x:v>RESP-ENC-HSP-002-010-06</x:v>
      </x:c>
      <x:c r="B121" s="54" t="str">
        <x:v>INT-ENC-HSP-002-010-01</x:v>
      </x:c>
      <x:c r="C121" s="54" t="str">
        <x:v>Q-ALLERGY</x:v>
      </x:c>
      <x:c r="D121" s="61" t="str">
        <x:v>Are there any known medicine allergies?</x:v>
      </x:c>
      <x:c r="E121" s="54" t="str">
        <x:v>No known allergy reported</x:v>
      </x:c>
      <x:c r="F121" s="54" t="str">
        <x:v>REPORTED</x:v>
      </x:c>
      <x:c r="G121" s="64" t="n">
        <x:v>46267.43402777778</x:v>
      </x:c>
      <x:c r="H121" s="61" t="str">
        <x:v>Synthetic response</x:v>
      </x:c>
    </x:row>
    <x:row r="122" ht="36" customHeight="1">
      <x:c r="A122" s="54" t="str">
        <x:v>RESP-ENC-HSP-003-001-01</x:v>
      </x:c>
      <x:c r="B122" s="54" t="str">
        <x:v>INT-ENC-HSP-003-001-01</x:v>
      </x:c>
      <x:c r="C122" s="54" t="str">
        <x:v>Q-ONSET</x:v>
      </x:c>
      <x:c r="D122" s="61" t="str">
        <x:v>When did the current problem begin?</x:v>
      </x:c>
      <x:c r="E122" s="54" t="str">
        <x:v>Within the last 24 hours</x:v>
      </x:c>
      <x:c r="F122" s="54" t="str">
        <x:v>REPORTED</x:v>
      </x:c>
      <x:c r="G122" s="64" t="n">
        <x:v>46267.34722222222</x:v>
      </x:c>
      <x:c r="H122" s="61" t="str">
        <x:v>Synthetic response</x:v>
      </x:c>
    </x:row>
    <x:row r="123" ht="36" customHeight="1">
      <x:c r="A123" s="54" t="str">
        <x:v>RESP-ENC-HSP-003-001-02</x:v>
      </x:c>
      <x:c r="B123" s="54" t="str">
        <x:v>INT-ENC-HSP-003-001-01</x:v>
      </x:c>
      <x:c r="C123" s="54" t="str">
        <x:v>Q-SEVERITY</x:v>
      </x:c>
      <x:c r="D123" s="61" t="str">
        <x:v>How severe is it right now from 0 to 10?</x:v>
      </x:c>
      <x:c r="E123" s="54" t="str">
        <x:v>7</x:v>
      </x:c>
      <x:c r="F123" s="54" t="str">
        <x:v>REPORTED</x:v>
      </x:c>
      <x:c r="G123" s="64" t="n">
        <x:v>46267.347916666666</x:v>
      </x:c>
      <x:c r="H123" s="61" t="str">
        <x:v>Synthetic response</x:v>
      </x:c>
    </x:row>
    <x:row r="124" ht="36" customHeight="1">
      <x:c r="A124" s="54" t="str">
        <x:v>RESP-ENC-HSP-003-001-03</x:v>
      </x:c>
      <x:c r="B124" s="54" t="str">
        <x:v>INT-ENC-HSP-003-001-01</x:v>
      </x:c>
      <x:c r="C124" s="54" t="str">
        <x:v>Q-ASSOCIATED</x:v>
      </x:c>
      <x:c r="D124" s="61" t="str">
        <x:v>What other symptoms are present?</x:v>
      </x:c>
      <x:c r="E124" s="54" t="str">
        <x:v>No additional symptom volunteered</x:v>
      </x:c>
      <x:c r="F124" s="54" t="str">
        <x:v>REPORTED</x:v>
      </x:c>
      <x:c r="G124" s="64" t="n">
        <x:v>46267.34861111111</x:v>
      </x:c>
      <x:c r="H124" s="61" t="str">
        <x:v>Synthetic response</x:v>
      </x:c>
    </x:row>
    <x:row r="125" ht="36" customHeight="1">
      <x:c r="A125" s="54" t="str">
        <x:v>RESP-ENC-HSP-003-001-04</x:v>
      </x:c>
      <x:c r="B125" s="54" t="str">
        <x:v>INT-ENC-HSP-003-001-01</x:v>
      </x:c>
      <x:c r="C125" s="54" t="str">
        <x:v>Q-WORSENING</x:v>
      </x:c>
      <x:c r="D125" s="61" t="str">
        <x:v>Is the problem getting worse?</x:v>
      </x:c>
      <x:c r="E125" s="54" t="str">
        <x:v>No</x:v>
      </x:c>
      <x:c r="F125" s="54" t="str">
        <x:v>REPORTED</x:v>
      </x:c>
      <x:c r="G125" s="64" t="n">
        <x:v>46267.34930555556</x:v>
      </x:c>
      <x:c r="H125" s="61" t="str">
        <x:v>Synthetic response</x:v>
      </x:c>
    </x:row>
    <x:row r="126" ht="36" customHeight="1">
      <x:c r="A126" s="54" t="str">
        <x:v>RESP-ENC-HSP-003-001-05</x:v>
      </x:c>
      <x:c r="B126" s="54" t="str">
        <x:v>INT-ENC-HSP-003-001-01</x:v>
      </x:c>
      <x:c r="C126" s="54" t="str">
        <x:v>Q-MEDICATION</x:v>
      </x:c>
      <x:c r="D126" s="61" t="str">
        <x:v>Was any medicine taken for this problem?</x:v>
      </x:c>
      <x:c r="E126" s="54" t="str">
        <x:v>None reported</x:v>
      </x:c>
      <x:c r="F126" s="54" t="str">
        <x:v>REPORTED</x:v>
      </x:c>
      <x:c r="G126" s="64" t="n">
        <x:v>46267.35</x:v>
      </x:c>
      <x:c r="H126" s="61" t="str">
        <x:v>Synthetic response</x:v>
      </x:c>
    </x:row>
    <x:row r="127" ht="36" customHeight="1">
      <x:c r="A127" s="54" t="str">
        <x:v>RESP-ENC-HSP-003-001-06</x:v>
      </x:c>
      <x:c r="B127" s="54" t="str">
        <x:v>INT-ENC-HSP-003-001-01</x:v>
      </x:c>
      <x:c r="C127" s="54" t="str">
        <x:v>Q-ALLERGY</x:v>
      </x:c>
      <x:c r="D127" s="61" t="str">
        <x:v>Are there any known medicine allergies?</x:v>
      </x:c>
      <x:c r="E127" s="54" t="str">
        <x:v>No known allergy reported</x:v>
      </x:c>
      <x:c r="F127" s="54" t="str">
        <x:v>REPORTED</x:v>
      </x:c>
      <x:c r="G127" s="64" t="n">
        <x:v>46267.350694444445</x:v>
      </x:c>
      <x:c r="H127" s="61" t="str">
        <x:v>Synthetic response</x:v>
      </x:c>
    </x:row>
    <x:row r="128" ht="36" customHeight="1">
      <x:c r="A128" s="54" t="str">
        <x:v>RESP-ENC-HSP-003-002-01</x:v>
      </x:c>
      <x:c r="B128" s="54" t="str">
        <x:v>INT-ENC-HSP-003-002-01</x:v>
      </x:c>
      <x:c r="C128" s="54" t="str">
        <x:v>Q-ONSET</x:v>
      </x:c>
      <x:c r="D128" s="61" t="str">
        <x:v>When did the current problem begin?</x:v>
      </x:c>
      <x:c r="E128" s="54" t="str">
        <x:v>Earlier today</x:v>
      </x:c>
      <x:c r="F128" s="54" t="str">
        <x:v>REPORTED</x:v>
      </x:c>
      <x:c r="G128" s="64" t="n">
        <x:v>46267.35208333333</x:v>
      </x:c>
      <x:c r="H128" s="61" t="str">
        <x:v>Synthetic response</x:v>
      </x:c>
    </x:row>
    <x:row r="129" ht="36" customHeight="1">
      <x:c r="A129" s="54" t="str">
        <x:v>RESP-ENC-HSP-003-002-02</x:v>
      </x:c>
      <x:c r="B129" s="54" t="str">
        <x:v>INT-ENC-HSP-003-002-01</x:v>
      </x:c>
      <x:c r="C129" s="54" t="str">
        <x:v>Q-SEVERITY</x:v>
      </x:c>
      <x:c r="D129" s="61" t="str">
        <x:v>How severe is it right now from 0 to 10?</x:v>
      </x:c>
      <x:c r="E129" s="54" t="str">
        <x:v>7</x:v>
      </x:c>
      <x:c r="F129" s="54" t="str">
        <x:v>REPORTED</x:v>
      </x:c>
      <x:c r="G129" s="64" t="n">
        <x:v>46267.35277777778</x:v>
      </x:c>
      <x:c r="H129" s="61" t="str">
        <x:v>Synthetic response</x:v>
      </x:c>
    </x:row>
    <x:row r="130" ht="36" customHeight="1">
      <x:c r="A130" s="54" t="str">
        <x:v>RESP-ENC-HSP-003-002-03</x:v>
      </x:c>
      <x:c r="B130" s="54" t="str">
        <x:v>INT-ENC-HSP-003-002-01</x:v>
      </x:c>
      <x:c r="C130" s="54" t="str">
        <x:v>Q-ASSOCIATED</x:v>
      </x:c>
      <x:c r="D130" s="61" t="str">
        <x:v>What other symptoms are present?</x:v>
      </x:c>
      <x:c r="E130" s="54" t="str">
        <x:v>Fever and fatigue</x:v>
      </x:c>
      <x:c r="F130" s="54" t="str">
        <x:v>REPORTED</x:v>
      </x:c>
      <x:c r="G130" s="64" t="n">
        <x:v>46267.353472222225</x:v>
      </x:c>
      <x:c r="H130" s="61" t="str">
        <x:v>Synthetic response</x:v>
      </x:c>
    </x:row>
    <x:row r="131" ht="36" customHeight="1">
      <x:c r="A131" s="54" t="str">
        <x:v>RESP-ENC-HSP-003-002-04</x:v>
      </x:c>
      <x:c r="B131" s="54" t="str">
        <x:v>INT-ENC-HSP-003-002-01</x:v>
      </x:c>
      <x:c r="C131" s="54" t="str">
        <x:v>Q-WORSENING</x:v>
      </x:c>
      <x:c r="D131" s="61" t="str">
        <x:v>Is the problem getting worse?</x:v>
      </x:c>
      <x:c r="E131" s="54" t="str">
        <x:v>No</x:v>
      </x:c>
      <x:c r="F131" s="54" t="str">
        <x:v>REPORTED</x:v>
      </x:c>
      <x:c r="G131" s="64" t="n">
        <x:v>46267.354166666664</x:v>
      </x:c>
      <x:c r="H131" s="61" t="str">
        <x:v>Synthetic response</x:v>
      </x:c>
    </x:row>
    <x:row r="132" ht="36" customHeight="1">
      <x:c r="A132" s="54" t="str">
        <x:v>RESP-ENC-HSP-003-002-05</x:v>
      </x:c>
      <x:c r="B132" s="54" t="str">
        <x:v>INT-ENC-HSP-003-002-01</x:v>
      </x:c>
      <x:c r="C132" s="54" t="str">
        <x:v>Q-MEDICATION</x:v>
      </x:c>
      <x:c r="D132" s="61" t="str">
        <x:v>Was any medicine taken for this problem?</x:v>
      </x:c>
      <x:c r="E132" s="54" t="str">
        <x:v>None reported</x:v>
      </x:c>
      <x:c r="F132" s="54" t="str">
        <x:v>REPORTED</x:v>
      </x:c>
      <x:c r="G132" s="64" t="n">
        <x:v>46267.35486111111</x:v>
      </x:c>
      <x:c r="H132" s="61" t="str">
        <x:v>Synthetic response</x:v>
      </x:c>
    </x:row>
    <x:row r="133" ht="36" customHeight="1">
      <x:c r="A133" s="54" t="str">
        <x:v>RESP-ENC-HSP-003-002-06</x:v>
      </x:c>
      <x:c r="B133" s="54" t="str">
        <x:v>INT-ENC-HSP-003-002-01</x:v>
      </x:c>
      <x:c r="C133" s="54" t="str">
        <x:v>Q-ALLERGY</x:v>
      </x:c>
      <x:c r="D133" s="61" t="str">
        <x:v>Are there any known medicine allergies?</x:v>
      </x:c>
      <x:c r="E133" s="54" t="str">
        <x:v>No known allergy reported</x:v>
      </x:c>
      <x:c r="F133" s="54" t="str">
        <x:v>REPORTED</x:v>
      </x:c>
      <x:c r="G133" s="64" t="n">
        <x:v>46267.35555555556</x:v>
      </x:c>
      <x:c r="H133" s="61" t="str">
        <x:v>Synthetic response</x:v>
      </x:c>
    </x:row>
    <x:row r="134" ht="36" customHeight="1">
      <x:c r="A134" s="54" t="str">
        <x:v>RESP-ENC-HSP-003-003-01</x:v>
      </x:c>
      <x:c r="B134" s="54" t="str">
        <x:v>INT-ENC-HSP-003-003-01</x:v>
      </x:c>
      <x:c r="C134" s="54" t="str">
        <x:v>Q-ONSET</x:v>
      </x:c>
      <x:c r="D134" s="61" t="str">
        <x:v>When did the current problem begin?</x:v>
      </x:c>
      <x:c r="E134" s="54" t="str">
        <x:v>Within the last 24 hours</x:v>
      </x:c>
      <x:c r="F134" s="54" t="str">
        <x:v>REPORTED</x:v>
      </x:c>
      <x:c r="G134" s="64" t="n">
        <x:v>46267.356944444444</x:v>
      </x:c>
      <x:c r="H134" s="61" t="str">
        <x:v>Synthetic response</x:v>
      </x:c>
    </x:row>
    <x:row r="135" ht="36" customHeight="1">
      <x:c r="A135" s="54" t="str">
        <x:v>RESP-ENC-HSP-003-003-02</x:v>
      </x:c>
      <x:c r="B135" s="54" t="str">
        <x:v>INT-ENC-HSP-003-003-01</x:v>
      </x:c>
      <x:c r="C135" s="54" t="str">
        <x:v>Q-SEVERITY</x:v>
      </x:c>
      <x:c r="D135" s="61" t="str">
        <x:v>How severe is it right now from 0 to 10?</x:v>
      </x:c>
      <x:c r="E135" s="54" t="str">
        <x:v>6</x:v>
      </x:c>
      <x:c r="F135" s="54" t="str">
        <x:v>REPORTED</x:v>
      </x:c>
      <x:c r="G135" s="64" t="n">
        <x:v>46267.35763888889</x:v>
      </x:c>
      <x:c r="H135" s="61" t="str">
        <x:v>Synthetic response</x:v>
      </x:c>
    </x:row>
    <x:row r="136" ht="36" customHeight="1">
      <x:c r="A136" s="54" t="str">
        <x:v>RESP-ENC-HSP-003-003-03</x:v>
      </x:c>
      <x:c r="B136" s="54" t="str">
        <x:v>INT-ENC-HSP-003-003-01</x:v>
      </x:c>
      <x:c r="C136" s="54" t="str">
        <x:v>Q-ASSOCIATED</x:v>
      </x:c>
      <x:c r="D136" s="61" t="str">
        <x:v>What other symptoms are present?</x:v>
      </x:c>
      <x:c r="E136" s="54" t="str">
        <x:v>No additional symptom volunteered</x:v>
      </x:c>
      <x:c r="F136" s="54" t="str">
        <x:v>REPORTED</x:v>
      </x:c>
      <x:c r="G136" s="64" t="n">
        <x:v>46267.35833333333</x:v>
      </x:c>
      <x:c r="H136" s="61" t="str">
        <x:v>Synthetic response</x:v>
      </x:c>
    </x:row>
    <x:row r="137" ht="36" customHeight="1">
      <x:c r="A137" s="54" t="str">
        <x:v>RESP-ENC-HSP-003-003-04</x:v>
      </x:c>
      <x:c r="B137" s="54" t="str">
        <x:v>INT-ENC-HSP-003-003-01</x:v>
      </x:c>
      <x:c r="C137" s="54" t="str">
        <x:v>Q-WORSENING</x:v>
      </x:c>
      <x:c r="D137" s="61" t="str">
        <x:v>Is the problem getting worse?</x:v>
      </x:c>
      <x:c r="E137" s="54" t="str">
        <x:v>No</x:v>
      </x:c>
      <x:c r="F137" s="54" t="str">
        <x:v>REPORTED</x:v>
      </x:c>
      <x:c r="G137" s="64" t="n">
        <x:v>46267.35902777778</x:v>
      </x:c>
      <x:c r="H137" s="61" t="str">
        <x:v>Synthetic response</x:v>
      </x:c>
    </x:row>
    <x:row r="138" ht="36" customHeight="1">
      <x:c r="A138" s="54" t="str">
        <x:v>RESP-ENC-HSP-003-003-05</x:v>
      </x:c>
      <x:c r="B138" s="54" t="str">
        <x:v>INT-ENC-HSP-003-003-01</x:v>
      </x:c>
      <x:c r="C138" s="54" t="str">
        <x:v>Q-MEDICATION</x:v>
      </x:c>
      <x:c r="D138" s="61" t="str">
        <x:v>Was any medicine taken for this problem?</x:v>
      </x:c>
      <x:c r="E138" s="54" t="str">
        <x:v>Unspecified over-the-counter medicine; verify</x:v>
      </x:c>
      <x:c r="F138" s="54" t="str">
        <x:v>REPORTED</x:v>
      </x:c>
      <x:c r="G138" s="64" t="n">
        <x:v>46267.35972222222</x:v>
      </x:c>
      <x:c r="H138" s="61" t="str">
        <x:v>Synthetic response</x:v>
      </x:c>
    </x:row>
    <x:row r="139" ht="36" customHeight="1">
      <x:c r="A139" s="54" t="str">
        <x:v>RESP-ENC-HSP-003-003-06</x:v>
      </x:c>
      <x:c r="B139" s="54" t="str">
        <x:v>INT-ENC-HSP-003-003-01</x:v>
      </x:c>
      <x:c r="C139" s="54" t="str">
        <x:v>Q-ALLERGY</x:v>
      </x:c>
      <x:c r="D139" s="61" t="str">
        <x:v>Are there any known medicine allergies?</x:v>
      </x:c>
      <x:c r="E139" s="54" t="str">
        <x:v>No known allergy reported</x:v>
      </x:c>
      <x:c r="F139" s="54" t="str">
        <x:v>REPORTED</x:v>
      </x:c>
      <x:c r="G139" s="64" t="n">
        <x:v>46267.36041666667</x:v>
      </x:c>
      <x:c r="H139" s="61" t="str">
        <x:v>Synthetic response</x:v>
      </x:c>
    </x:row>
    <x:row r="140" ht="36" customHeight="1">
      <x:c r="A140" s="54" t="str">
        <x:v>RESP-ENC-HSP-003-004-01</x:v>
      </x:c>
      <x:c r="B140" s="54" t="str">
        <x:v>INT-ENC-HSP-003-004-01</x:v>
      </x:c>
      <x:c r="C140" s="54" t="str">
        <x:v>Q-ONSET</x:v>
      </x:c>
      <x:c r="D140" s="61" t="str">
        <x:v>When did the current problem begin?</x:v>
      </x:c>
      <x:c r="E140" s="54" t="str">
        <x:v>Earlier today</x:v>
      </x:c>
      <x:c r="F140" s="54" t="str">
        <x:v>REPORTED</x:v>
      </x:c>
      <x:c r="G140" s="64" t="n">
        <x:v>46267.40347222222</x:v>
      </x:c>
      <x:c r="H140" s="61" t="str">
        <x:v>Synthetic response</x:v>
      </x:c>
    </x:row>
    <x:row r="141" ht="36" customHeight="1">
      <x:c r="A141" s="54" t="str">
        <x:v>RESP-ENC-HSP-003-004-02</x:v>
      </x:c>
      <x:c r="B141" s="54" t="str">
        <x:v>INT-ENC-HSP-003-004-01</x:v>
      </x:c>
      <x:c r="C141" s="54" t="str">
        <x:v>Q-SEVERITY</x:v>
      </x:c>
      <x:c r="D141" s="61" t="str">
        <x:v>How severe is it right now from 0 to 10?</x:v>
      </x:c>
      <x:c r="E141" s="54" t="str">
        <x:v>6</x:v>
      </x:c>
      <x:c r="F141" s="54" t="str">
        <x:v>REPORTED</x:v>
      </x:c>
      <x:c r="G141" s="64" t="n">
        <x:v>46267.40416666667</x:v>
      </x:c>
      <x:c r="H141" s="61" t="str">
        <x:v>Synthetic response</x:v>
      </x:c>
    </x:row>
    <x:row r="142" ht="36" customHeight="1">
      <x:c r="A142" s="54" t="str">
        <x:v>RESP-ENC-HSP-003-004-03</x:v>
      </x:c>
      <x:c r="B142" s="54" t="str">
        <x:v>INT-ENC-HSP-003-004-01</x:v>
      </x:c>
      <x:c r="C142" s="54" t="str">
        <x:v>Q-ASSOCIATED</x:v>
      </x:c>
      <x:c r="D142" s="61" t="str">
        <x:v>What other symptoms are present?</x:v>
      </x:c>
      <x:c r="E142" s="54" t="str">
        <x:v>No additional symptom volunteered</x:v>
      </x:c>
      <x:c r="F142" s="54" t="str">
        <x:v>REPORTED</x:v>
      </x:c>
      <x:c r="G142" s="64" t="n">
        <x:v>46267.404861111114</x:v>
      </x:c>
      <x:c r="H142" s="61" t="str">
        <x:v>Synthetic response</x:v>
      </x:c>
    </x:row>
    <x:row r="143" ht="36" customHeight="1">
      <x:c r="A143" s="54" t="str">
        <x:v>RESP-ENC-HSP-003-004-04</x:v>
      </x:c>
      <x:c r="B143" s="54" t="str">
        <x:v>INT-ENC-HSP-003-004-01</x:v>
      </x:c>
      <x:c r="C143" s="54" t="str">
        <x:v>Q-WORSENING</x:v>
      </x:c>
      <x:c r="D143" s="61" t="str">
        <x:v>Is the problem getting worse?</x:v>
      </x:c>
      <x:c r="E143" s="54" t="str">
        <x:v>No</x:v>
      </x:c>
      <x:c r="F143" s="54" t="str">
        <x:v>REPORTED</x:v>
      </x:c>
      <x:c r="G143" s="64" t="n">
        <x:v>46267.40555555555</x:v>
      </x:c>
      <x:c r="H143" s="61" t="str">
        <x:v>Synthetic response</x:v>
      </x:c>
    </x:row>
    <x:row r="144" ht="36" customHeight="1">
      <x:c r="A144" s="54" t="str">
        <x:v>RESP-ENC-HSP-003-004-05</x:v>
      </x:c>
      <x:c r="B144" s="54" t="str">
        <x:v>INT-ENC-HSP-003-004-01</x:v>
      </x:c>
      <x:c r="C144" s="54" t="str">
        <x:v>Q-MEDICATION</x:v>
      </x:c>
      <x:c r="D144" s="61" t="str">
        <x:v>Was any medicine taken for this problem?</x:v>
      </x:c>
      <x:c r="E144" s="54" t="str">
        <x:v>None reported</x:v>
      </x:c>
      <x:c r="F144" s="54" t="str">
        <x:v>REPORTED</x:v>
      </x:c>
      <x:c r="G144" s="64" t="n">
        <x:v>46267.40625</x:v>
      </x:c>
      <x:c r="H144" s="61" t="str">
        <x:v>Synthetic response</x:v>
      </x:c>
    </x:row>
    <x:row r="145" ht="36" customHeight="1">
      <x:c r="A145" s="54" t="str">
        <x:v>RESP-ENC-HSP-003-004-06</x:v>
      </x:c>
      <x:c r="B145" s="54" t="str">
        <x:v>INT-ENC-HSP-003-004-01</x:v>
      </x:c>
      <x:c r="C145" s="54" t="str">
        <x:v>Q-ALLERGY</x:v>
      </x:c>
      <x:c r="D145" s="61" t="str">
        <x:v>Are there any known medicine allergies?</x:v>
      </x:c>
      <x:c r="E145" s="54" t="str">
        <x:v>No known allergy reported</x:v>
      </x:c>
      <x:c r="F145" s="54" t="str">
        <x:v>REPORTED</x:v>
      </x:c>
      <x:c r="G145" s="64" t="n">
        <x:v>46267.40694444445</x:v>
      </x:c>
      <x:c r="H145" s="61" t="str">
        <x:v>Synthetic response</x:v>
      </x:c>
    </x:row>
    <x:row r="146" ht="36" customHeight="1">
      <x:c r="A146" s="54" t="str">
        <x:v>RESP-ENC-HSP-003-005-01</x:v>
      </x:c>
      <x:c r="B146" s="54" t="str">
        <x:v>INT-ENC-HSP-003-005-01</x:v>
      </x:c>
      <x:c r="C146" s="54" t="str">
        <x:v>Q-ONSET</x:v>
      </x:c>
      <x:c r="D146" s="61" t="str">
        <x:v>When did the current problem begin?</x:v>
      </x:c>
      <x:c r="E146" s="54" t="str">
        <x:v>Within the last 24 hours</x:v>
      </x:c>
      <x:c r="F146" s="54" t="str">
        <x:v>REPORTED</x:v>
      </x:c>
      <x:c r="G146" s="64" t="n">
        <x:v>46267.40833333333</x:v>
      </x:c>
      <x:c r="H146" s="61" t="str">
        <x:v>Synthetic response</x:v>
      </x:c>
    </x:row>
    <x:row r="147" ht="36" customHeight="1">
      <x:c r="A147" s="54" t="str">
        <x:v>RESP-ENC-HSP-003-005-02</x:v>
      </x:c>
      <x:c r="B147" s="54" t="str">
        <x:v>INT-ENC-HSP-003-005-01</x:v>
      </x:c>
      <x:c r="C147" s="54" t="str">
        <x:v>Q-SEVERITY</x:v>
      </x:c>
      <x:c r="D147" s="61" t="str">
        <x:v>How severe is it right now from 0 to 10?</x:v>
      </x:c>
      <x:c r="E147" s="54" t="str">
        <x:v>6</x:v>
      </x:c>
      <x:c r="F147" s="54" t="str">
        <x:v>REPORTED</x:v>
      </x:c>
      <x:c r="G147" s="64" t="n">
        <x:v>46267.40902777778</x:v>
      </x:c>
      <x:c r="H147" s="61" t="str">
        <x:v>Synthetic response</x:v>
      </x:c>
    </x:row>
    <x:row r="148" ht="36" customHeight="1">
      <x:c r="A148" s="54" t="str">
        <x:v>RESP-ENC-HSP-003-005-03</x:v>
      </x:c>
      <x:c r="B148" s="54" t="str">
        <x:v>INT-ENC-HSP-003-005-01</x:v>
      </x:c>
      <x:c r="C148" s="54" t="str">
        <x:v>Q-ASSOCIATED</x:v>
      </x:c>
      <x:c r="D148" s="61" t="str">
        <x:v>What other symptoms are present?</x:v>
      </x:c>
      <x:c r="E148" s="54" t="str">
        <x:v>Fever and fatigue</x:v>
      </x:c>
      <x:c r="F148" s="54" t="str">
        <x:v>REPORTED</x:v>
      </x:c>
      <x:c r="G148" s="64" t="n">
        <x:v>46267.40972222222</x:v>
      </x:c>
      <x:c r="H148" s="61" t="str">
        <x:v>Synthetic response</x:v>
      </x:c>
    </x:row>
    <x:row r="149" ht="36" customHeight="1">
      <x:c r="A149" s="54" t="str">
        <x:v>RESP-ENC-HSP-003-005-04</x:v>
      </x:c>
      <x:c r="B149" s="54" t="str">
        <x:v>INT-ENC-HSP-003-005-01</x:v>
      </x:c>
      <x:c r="C149" s="54" t="str">
        <x:v>Q-WORSENING</x:v>
      </x:c>
      <x:c r="D149" s="61" t="str">
        <x:v>Is the problem getting worse?</x:v>
      </x:c>
      <x:c r="E149" s="54" t="str">
        <x:v>No</x:v>
      </x:c>
      <x:c r="F149" s="54" t="str">
        <x:v>REPORTED</x:v>
      </x:c>
      <x:c r="G149" s="64" t="n">
        <x:v>46267.410416666666</x:v>
      </x:c>
      <x:c r="H149" s="61" t="str">
        <x:v>Synthetic response</x:v>
      </x:c>
    </x:row>
    <x:row r="150" ht="36" customHeight="1">
      <x:c r="A150" s="54" t="str">
        <x:v>RESP-ENC-HSP-003-005-05</x:v>
      </x:c>
      <x:c r="B150" s="54" t="str">
        <x:v>INT-ENC-HSP-003-005-01</x:v>
      </x:c>
      <x:c r="C150" s="54" t="str">
        <x:v>Q-MEDICATION</x:v>
      </x:c>
      <x:c r="D150" s="61" t="str">
        <x:v>Was any medicine taken for this problem?</x:v>
      </x:c>
      <x:c r="E150" s="54" t="str">
        <x:v>None reported</x:v>
      </x:c>
      <x:c r="F150" s="54" t="str">
        <x:v>REPORTED</x:v>
      </x:c>
      <x:c r="G150" s="64" t="n">
        <x:v>46267.41111111111</x:v>
      </x:c>
      <x:c r="H150" s="61" t="str">
        <x:v>Synthetic response</x:v>
      </x:c>
    </x:row>
    <x:row r="151" ht="36" customHeight="1">
      <x:c r="A151" s="54" t="str">
        <x:v>RESP-ENC-HSP-003-005-06</x:v>
      </x:c>
      <x:c r="B151" s="54" t="str">
        <x:v>INT-ENC-HSP-003-005-01</x:v>
      </x:c>
      <x:c r="C151" s="54" t="str">
        <x:v>Q-ALLERGY</x:v>
      </x:c>
      <x:c r="D151" s="61" t="str">
        <x:v>Are there any known medicine allergies?</x:v>
      </x:c>
      <x:c r="E151" s="54" t="str">
        <x:v>No known allergy reported</x:v>
      </x:c>
      <x:c r="F151" s="54" t="str">
        <x:v>REPORTED</x:v>
      </x:c>
      <x:c r="G151" s="64" t="n">
        <x:v>46267.41180555556</x:v>
      </x:c>
      <x:c r="H151" s="61" t="str">
        <x:v>Synthetic response</x:v>
      </x:c>
    </x:row>
    <x:row r="152" ht="36" customHeight="1">
      <x:c r="A152" s="54" t="str">
        <x:v>RESP-ENC-HSP-003-006-01</x:v>
      </x:c>
      <x:c r="B152" s="54" t="str">
        <x:v>INT-ENC-HSP-003-006-01</x:v>
      </x:c>
      <x:c r="C152" s="54" t="str">
        <x:v>Q-ONSET</x:v>
      </x:c>
      <x:c r="D152" s="61" t="str">
        <x:v>When did the current problem begin?</x:v>
      </x:c>
      <x:c r="E152" s="54" t="str">
        <x:v>Earlier today</x:v>
      </x:c>
      <x:c r="F152" s="54" t="str">
        <x:v>REPORTED</x:v>
      </x:c>
      <x:c r="G152" s="64" t="n">
        <x:v>46267.413194444445</x:v>
      </x:c>
      <x:c r="H152" s="61" t="str">
        <x:v>Synthetic response</x:v>
      </x:c>
    </x:row>
    <x:row r="153" ht="36" customHeight="1">
      <x:c r="A153" s="54" t="str">
        <x:v>RESP-ENC-HSP-003-006-02</x:v>
      </x:c>
      <x:c r="B153" s="54" t="str">
        <x:v>INT-ENC-HSP-003-006-01</x:v>
      </x:c>
      <x:c r="C153" s="54" t="str">
        <x:v>Q-SEVERITY</x:v>
      </x:c>
      <x:c r="D153" s="61" t="str">
        <x:v>How severe is it right now from 0 to 10?</x:v>
      </x:c>
      <x:c r="E153" s="54" t="str">
        <x:v>6</x:v>
      </x:c>
      <x:c r="F153" s="54" t="str">
        <x:v>REPORTED</x:v>
      </x:c>
      <x:c r="G153" s="64" t="n">
        <x:v>46267.41388888889</x:v>
      </x:c>
      <x:c r="H153" s="61" t="str">
        <x:v>Synthetic response</x:v>
      </x:c>
    </x:row>
    <x:row r="154" ht="36" customHeight="1">
      <x:c r="A154" s="54" t="str">
        <x:v>RESP-ENC-HSP-003-006-03</x:v>
      </x:c>
      <x:c r="B154" s="54" t="str">
        <x:v>INT-ENC-HSP-003-006-01</x:v>
      </x:c>
      <x:c r="C154" s="54" t="str">
        <x:v>Q-ASSOCIATED</x:v>
      </x:c>
      <x:c r="D154" s="61" t="str">
        <x:v>What other symptoms are present?</x:v>
      </x:c>
      <x:c r="E154" s="54" t="str">
        <x:v>No additional symptom volunteered</x:v>
      </x:c>
      <x:c r="F154" s="54" t="str">
        <x:v>REPORTED</x:v>
      </x:c>
      <x:c r="G154" s="64" t="n">
        <x:v>46267.41458333333</x:v>
      </x:c>
      <x:c r="H154" s="61" t="str">
        <x:v>Synthetic response</x:v>
      </x:c>
    </x:row>
    <x:row r="155" ht="36" customHeight="1">
      <x:c r="A155" s="54" t="str">
        <x:v>RESP-ENC-HSP-003-006-04</x:v>
      </x:c>
      <x:c r="B155" s="54" t="str">
        <x:v>INT-ENC-HSP-003-006-01</x:v>
      </x:c>
      <x:c r="C155" s="54" t="str">
        <x:v>Q-WORSENING</x:v>
      </x:c>
      <x:c r="D155" s="61" t="str">
        <x:v>Is the problem getting worse?</x:v>
      </x:c>
      <x:c r="E155" s="54" t="str">
        <x:v>No</x:v>
      </x:c>
      <x:c r="F155" s="54" t="str">
        <x:v>REPORTED</x:v>
      </x:c>
      <x:c r="G155" s="64" t="n">
        <x:v>46267.41527777778</x:v>
      </x:c>
      <x:c r="H155" s="61" t="str">
        <x:v>Synthetic response</x:v>
      </x:c>
    </x:row>
    <x:row r="156" ht="36" customHeight="1">
      <x:c r="A156" s="54" t="str">
        <x:v>RESP-ENC-HSP-003-006-05</x:v>
      </x:c>
      <x:c r="B156" s="54" t="str">
        <x:v>INT-ENC-HSP-003-006-01</x:v>
      </x:c>
      <x:c r="C156" s="54" t="str">
        <x:v>Q-MEDICATION</x:v>
      </x:c>
      <x:c r="D156" s="61" t="str">
        <x:v>Was any medicine taken for this problem?</x:v>
      </x:c>
      <x:c r="E156" s="54" t="str">
        <x:v>Unspecified over-the-counter medicine; verify</x:v>
      </x:c>
      <x:c r="F156" s="54" t="str">
        <x:v>REPORTED</x:v>
      </x:c>
      <x:c r="G156" s="64" t="n">
        <x:v>46267.415972222225</x:v>
      </x:c>
      <x:c r="H156" s="61" t="str">
        <x:v>Synthetic response</x:v>
      </x:c>
    </x:row>
    <x:row r="157" ht="36" customHeight="1">
      <x:c r="A157" s="54" t="str">
        <x:v>RESP-ENC-HSP-003-006-06</x:v>
      </x:c>
      <x:c r="B157" s="54" t="str">
        <x:v>INT-ENC-HSP-003-006-01</x:v>
      </x:c>
      <x:c r="C157" s="54" t="str">
        <x:v>Q-ALLERGY</x:v>
      </x:c>
      <x:c r="D157" s="61" t="str">
        <x:v>Are there any known medicine allergies?</x:v>
      </x:c>
      <x:c r="E157" s="54" t="str">
        <x:v>No known allergy reported</x:v>
      </x:c>
      <x:c r="F157" s="54" t="str">
        <x:v>REPORTED</x:v>
      </x:c>
      <x:c r="G157" s="64" t="n">
        <x:v>46267.416666666664</x:v>
      </x:c>
      <x:c r="H157" s="61" t="str">
        <x:v>Synthetic response</x:v>
      </x:c>
    </x:row>
    <x:row r="158" ht="36" customHeight="1">
      <x:c r="A158" s="54" t="str">
        <x:v>RESP-ENC-HSP-003-007-01</x:v>
      </x:c>
      <x:c r="B158" s="54" t="str">
        <x:v>INT-ENC-HSP-003-007-01</x:v>
      </x:c>
      <x:c r="C158" s="54" t="str">
        <x:v>Q-ONSET</x:v>
      </x:c>
      <x:c r="D158" s="61" t="str">
        <x:v>When did the current problem begin?</x:v>
      </x:c>
      <x:c r="E158" s="54" t="str">
        <x:v>Within the last 24 hours</x:v>
      </x:c>
      <x:c r="F158" s="54" t="str">
        <x:v>REPORTED</x:v>
      </x:c>
      <x:c r="G158" s="64" t="n">
        <x:v>46267.41805555556</x:v>
      </x:c>
      <x:c r="H158" s="61" t="str">
        <x:v>Synthetic response</x:v>
      </x:c>
    </x:row>
    <x:row r="159" ht="36" customHeight="1">
      <x:c r="A159" s="54" t="str">
        <x:v>RESP-ENC-HSP-003-007-02</x:v>
      </x:c>
      <x:c r="B159" s="54" t="str">
        <x:v>INT-ENC-HSP-003-007-01</x:v>
      </x:c>
      <x:c r="C159" s="54" t="str">
        <x:v>Q-SEVERITY</x:v>
      </x:c>
      <x:c r="D159" s="61" t="str">
        <x:v>How severe is it right now from 0 to 10?</x:v>
      </x:c>
      <x:c r="E159" s="54" t="str">
        <x:v>6</x:v>
      </x:c>
      <x:c r="F159" s="54" t="str">
        <x:v>REPORTED</x:v>
      </x:c>
      <x:c r="G159" s="64" t="n">
        <x:v>46267.41875</x:v>
      </x:c>
      <x:c r="H159" s="61" t="str">
        <x:v>Synthetic response</x:v>
      </x:c>
    </x:row>
    <x:row r="160" ht="36" customHeight="1">
      <x:c r="A160" s="54" t="str">
        <x:v>RESP-ENC-HSP-003-007-03</x:v>
      </x:c>
      <x:c r="B160" s="54" t="str">
        <x:v>INT-ENC-HSP-003-007-01</x:v>
      </x:c>
      <x:c r="C160" s="54" t="str">
        <x:v>Q-ASSOCIATED</x:v>
      </x:c>
      <x:c r="D160" s="61" t="str">
        <x:v>What other symptoms are present?</x:v>
      </x:c>
      <x:c r="E160" s="54" t="str">
        <x:v>No additional symptom volunteered</x:v>
      </x:c>
      <x:c r="F160" s="54" t="str">
        <x:v>REPORTED</x:v>
      </x:c>
      <x:c r="G160" s="64" t="n">
        <x:v>46267.419444444444</x:v>
      </x:c>
      <x:c r="H160" s="61" t="str">
        <x:v>Synthetic response</x:v>
      </x:c>
    </x:row>
    <x:row r="161" ht="36" customHeight="1">
      <x:c r="A161" s="54" t="str">
        <x:v>RESP-ENC-HSP-003-007-04</x:v>
      </x:c>
      <x:c r="B161" s="54" t="str">
        <x:v>INT-ENC-HSP-003-007-01</x:v>
      </x:c>
      <x:c r="C161" s="54" t="str">
        <x:v>Q-WORSENING</x:v>
      </x:c>
      <x:c r="D161" s="61" t="str">
        <x:v>Is the problem getting worse?</x:v>
      </x:c>
      <x:c r="E161" s="54" t="str">
        <x:v>No</x:v>
      </x:c>
      <x:c r="F161" s="54" t="str">
        <x:v>REPORTED</x:v>
      </x:c>
      <x:c r="G161" s="64" t="n">
        <x:v>46267.42013888889</x:v>
      </x:c>
      <x:c r="H161" s="61" t="str">
        <x:v>Synthetic response</x:v>
      </x:c>
    </x:row>
    <x:row r="162" ht="36" customHeight="1">
      <x:c r="A162" s="54" t="str">
        <x:v>RESP-ENC-HSP-003-007-05</x:v>
      </x:c>
      <x:c r="B162" s="54" t="str">
        <x:v>INT-ENC-HSP-003-007-01</x:v>
      </x:c>
      <x:c r="C162" s="54" t="str">
        <x:v>Q-MEDICATION</x:v>
      </x:c>
      <x:c r="D162" s="61" t="str">
        <x:v>Was any medicine taken for this problem?</x:v>
      </x:c>
      <x:c r="E162" s="54" t="str">
        <x:v>None reported</x:v>
      </x:c>
      <x:c r="F162" s="54" t="str">
        <x:v>REPORTED</x:v>
      </x:c>
      <x:c r="G162" s="64" t="n">
        <x:v>46267.42083333333</x:v>
      </x:c>
      <x:c r="H162" s="61" t="str">
        <x:v>Synthetic response</x:v>
      </x:c>
    </x:row>
    <x:row r="163" ht="36" customHeight="1">
      <x:c r="A163" s="54" t="str">
        <x:v>RESP-ENC-HSP-003-007-06</x:v>
      </x:c>
      <x:c r="B163" s="54" t="str">
        <x:v>INT-ENC-HSP-003-007-01</x:v>
      </x:c>
      <x:c r="C163" s="54" t="str">
        <x:v>Q-ALLERGY</x:v>
      </x:c>
      <x:c r="D163" s="61" t="str">
        <x:v>Are there any known medicine allergies?</x:v>
      </x:c>
      <x:c r="E163" s="54" t="str">
        <x:v>No known allergy reported</x:v>
      </x:c>
      <x:c r="F163" s="54" t="str">
        <x:v>REPORTED</x:v>
      </x:c>
      <x:c r="G163" s="64" t="n">
        <x:v>46267.42152777778</x:v>
      </x:c>
      <x:c r="H163" s="61" t="str">
        <x:v>Synthetic response</x:v>
      </x:c>
    </x:row>
    <x:row r="164" ht="36" customHeight="1">
      <x:c r="A164" s="54" t="str">
        <x:v>RESP-ENC-HSP-003-008-01</x:v>
      </x:c>
      <x:c r="B164" s="54" t="str">
        <x:v>INT-ENC-HSP-003-008-01</x:v>
      </x:c>
      <x:c r="C164" s="54" t="str">
        <x:v>Q-ONSET</x:v>
      </x:c>
      <x:c r="D164" s="61" t="str">
        <x:v>When did the current problem begin?</x:v>
      </x:c>
      <x:c r="E164" s="54" t="str">
        <x:v>Earlier today</x:v>
      </x:c>
      <x:c r="F164" s="54" t="str">
        <x:v>REPORTED</x:v>
      </x:c>
      <x:c r="G164" s="64" t="n">
        <x:v>46267.42291666667</x:v>
      </x:c>
      <x:c r="H164" s="61" t="str">
        <x:v>Synthetic response</x:v>
      </x:c>
    </x:row>
    <x:row r="165" ht="36" customHeight="1">
      <x:c r="A165" s="54" t="str">
        <x:v>RESP-ENC-HSP-003-008-02</x:v>
      </x:c>
      <x:c r="B165" s="54" t="str">
        <x:v>INT-ENC-HSP-003-008-01</x:v>
      </x:c>
      <x:c r="C165" s="54" t="str">
        <x:v>Q-SEVERITY</x:v>
      </x:c>
      <x:c r="D165" s="61" t="str">
        <x:v>How severe is it right now from 0 to 10?</x:v>
      </x:c>
      <x:c r="E165" s="54" t="str">
        <x:v>6</x:v>
      </x:c>
      <x:c r="F165" s="54" t="str">
        <x:v>REPORTED</x:v>
      </x:c>
      <x:c r="G165" s="64" t="n">
        <x:v>46267.42361111111</x:v>
      </x:c>
      <x:c r="H165" s="61" t="str">
        <x:v>Synthetic response</x:v>
      </x:c>
    </x:row>
    <x:row r="166" ht="36" customHeight="1">
      <x:c r="A166" s="54" t="str">
        <x:v>RESP-ENC-HSP-003-008-03</x:v>
      </x:c>
      <x:c r="B166" s="54" t="str">
        <x:v>INT-ENC-HSP-003-008-01</x:v>
      </x:c>
      <x:c r="C166" s="54" t="str">
        <x:v>Q-ASSOCIATED</x:v>
      </x:c>
      <x:c r="D166" s="61" t="str">
        <x:v>What other symptoms are present?</x:v>
      </x:c>
      <x:c r="E166" s="54" t="str">
        <x:v>No additional symptom volunteered</x:v>
      </x:c>
      <x:c r="F166" s="54" t="str">
        <x:v>REPORTED</x:v>
      </x:c>
      <x:c r="G166" s="64" t="n">
        <x:v>46267.424305555556</x:v>
      </x:c>
      <x:c r="H166" s="61" t="str">
        <x:v>Synthetic response</x:v>
      </x:c>
    </x:row>
    <x:row r="167" ht="36" customHeight="1">
      <x:c r="A167" s="54" t="str">
        <x:v>RESP-ENC-HSP-003-008-04</x:v>
      </x:c>
      <x:c r="B167" s="54" t="str">
        <x:v>INT-ENC-HSP-003-008-01</x:v>
      </x:c>
      <x:c r="C167" s="54" t="str">
        <x:v>Q-WORSENING</x:v>
      </x:c>
      <x:c r="D167" s="61" t="str">
        <x:v>Is the problem getting worse?</x:v>
      </x:c>
      <x:c r="E167" s="54" t="str">
        <x:v>No</x:v>
      </x:c>
      <x:c r="F167" s="54" t="str">
        <x:v>REPORTED</x:v>
      </x:c>
      <x:c r="G167" s="64" t="n">
        <x:v>46267.425</x:v>
      </x:c>
      <x:c r="H167" s="61" t="str">
        <x:v>Synthetic response</x:v>
      </x:c>
    </x:row>
    <x:row r="168" ht="36" customHeight="1">
      <x:c r="A168" s="54" t="str">
        <x:v>RESP-ENC-HSP-003-008-05</x:v>
      </x:c>
      <x:c r="B168" s="54" t="str">
        <x:v>INT-ENC-HSP-003-008-01</x:v>
      </x:c>
      <x:c r="C168" s="54" t="str">
        <x:v>Q-MEDICATION</x:v>
      </x:c>
      <x:c r="D168" s="61" t="str">
        <x:v>Was any medicine taken for this problem?</x:v>
      </x:c>
      <x:c r="E168" s="54" t="str">
        <x:v>None reported</x:v>
      </x:c>
      <x:c r="F168" s="54" t="str">
        <x:v>REPORTED</x:v>
      </x:c>
      <x:c r="G168" s="64" t="n">
        <x:v>46267.42569444444</x:v>
      </x:c>
      <x:c r="H168" s="61" t="str">
        <x:v>Synthetic response</x:v>
      </x:c>
    </x:row>
    <x:row r="169" ht="36" customHeight="1">
      <x:c r="A169" s="54" t="str">
        <x:v>RESP-ENC-HSP-003-008-06</x:v>
      </x:c>
      <x:c r="B169" s="54" t="str">
        <x:v>INT-ENC-HSP-003-008-01</x:v>
      </x:c>
      <x:c r="C169" s="54" t="str">
        <x:v>Q-ALLERGY</x:v>
      </x:c>
      <x:c r="D169" s="61" t="str">
        <x:v>Are there any known medicine allergies?</x:v>
      </x:c>
      <x:c r="E169" s="54" t="str">
        <x:v>No known allergy reported</x:v>
      </x:c>
      <x:c r="F169" s="54" t="str">
        <x:v>REPORTED</x:v>
      </x:c>
      <x:c r="G169" s="64" t="n">
        <x:v>46267.42638888889</x:v>
      </x:c>
      <x:c r="H169" s="61" t="str">
        <x:v>Synthetic response</x:v>
      </x:c>
    </x:row>
    <x:row r="170" ht="36" customHeight="1">
      <x:c r="A170" s="54" t="str">
        <x:v>RESP-ENC-HSP-003-009-01</x:v>
      </x:c>
      <x:c r="B170" s="54" t="str">
        <x:v>INT-ENC-HSP-003-009-01</x:v>
      </x:c>
      <x:c r="C170" s="54" t="str">
        <x:v>Q-ONSET</x:v>
      </x:c>
      <x:c r="D170" s="61" t="str">
        <x:v>When did the current problem begin?</x:v>
      </x:c>
      <x:c r="E170" s="54" t="str">
        <x:v>Within the last 24 hours</x:v>
      </x:c>
      <x:c r="F170" s="54" t="str">
        <x:v>REPORTED</x:v>
      </x:c>
      <x:c r="G170" s="64" t="n">
        <x:v>46267.427777777775</x:v>
      </x:c>
      <x:c r="H170" s="61" t="str">
        <x:v>Synthetic response</x:v>
      </x:c>
    </x:row>
    <x:row r="171" ht="36" customHeight="1">
      <x:c r="A171" s="54" t="str">
        <x:v>RESP-ENC-HSP-003-009-02</x:v>
      </x:c>
      <x:c r="B171" s="54" t="str">
        <x:v>INT-ENC-HSP-003-009-01</x:v>
      </x:c>
      <x:c r="C171" s="54" t="str">
        <x:v>Q-SEVERITY</x:v>
      </x:c>
      <x:c r="D171" s="61" t="str">
        <x:v>How severe is it right now from 0 to 10?</x:v>
      </x:c>
      <x:c r="E171" s="54" t="str">
        <x:v>5</x:v>
      </x:c>
      <x:c r="F171" s="54" t="str">
        <x:v>REPORTED</x:v>
      </x:c>
      <x:c r="G171" s="64" t="n">
        <x:v>46267.42847222222</x:v>
      </x:c>
      <x:c r="H171" s="61" t="str">
        <x:v>Synthetic response</x:v>
      </x:c>
    </x:row>
    <x:row r="172" ht="36" customHeight="1">
      <x:c r="A172" s="54" t="str">
        <x:v>RESP-ENC-HSP-003-009-03</x:v>
      </x:c>
      <x:c r="B172" s="54" t="str">
        <x:v>INT-ENC-HSP-003-009-01</x:v>
      </x:c>
      <x:c r="C172" s="54" t="str">
        <x:v>Q-ASSOCIATED</x:v>
      </x:c>
      <x:c r="D172" s="61" t="str">
        <x:v>What other symptoms are present?</x:v>
      </x:c>
      <x:c r="E172" s="54" t="str">
        <x:v>No additional symptom volunteered</x:v>
      </x:c>
      <x:c r="F172" s="54" t="str">
        <x:v>REPORTED</x:v>
      </x:c>
      <x:c r="G172" s="64" t="n">
        <x:v>46267.42916666667</x:v>
      </x:c>
      <x:c r="H172" s="61" t="str">
        <x:v>Synthetic response</x:v>
      </x:c>
    </x:row>
    <x:row r="173" ht="36" customHeight="1">
      <x:c r="A173" s="54" t="str">
        <x:v>RESP-ENC-HSP-003-009-04</x:v>
      </x:c>
      <x:c r="B173" s="54" t="str">
        <x:v>INT-ENC-HSP-003-009-01</x:v>
      </x:c>
      <x:c r="C173" s="54" t="str">
        <x:v>Q-WORSENING</x:v>
      </x:c>
      <x:c r="D173" s="61" t="str">
        <x:v>Is the problem getting worse?</x:v>
      </x:c>
      <x:c r="E173" s="54" t="str">
        <x:v>No</x:v>
      </x:c>
      <x:c r="F173" s="54" t="str">
        <x:v>REPORTED</x:v>
      </x:c>
      <x:c r="G173" s="64" t="n">
        <x:v>46267.42986111111</x:v>
      </x:c>
      <x:c r="H173" s="61" t="str">
        <x:v>Synthetic response</x:v>
      </x:c>
    </x:row>
    <x:row r="174" ht="36" customHeight="1">
      <x:c r="A174" s="54" t="str">
        <x:v>RESP-ENC-HSP-003-009-05</x:v>
      </x:c>
      <x:c r="B174" s="54" t="str">
        <x:v>INT-ENC-HSP-003-009-01</x:v>
      </x:c>
      <x:c r="C174" s="54" t="str">
        <x:v>Q-MEDICATION</x:v>
      </x:c>
      <x:c r="D174" s="61" t="str">
        <x:v>Was any medicine taken for this problem?</x:v>
      </x:c>
      <x:c r="E174" s="54" t="str">
        <x:v>Unspecified over-the-counter medicine; verify</x:v>
      </x:c>
      <x:c r="F174" s="54" t="str">
        <x:v>REPORTED</x:v>
      </x:c>
      <x:c r="G174" s="64" t="n">
        <x:v>46267.430555555555</x:v>
      </x:c>
      <x:c r="H174" s="61" t="str">
        <x:v>Synthetic response</x:v>
      </x:c>
    </x:row>
    <x:row r="175" ht="36" customHeight="1">
      <x:c r="A175" s="54" t="str">
        <x:v>RESP-ENC-HSP-003-009-06</x:v>
      </x:c>
      <x:c r="B175" s="54" t="str">
        <x:v>INT-ENC-HSP-003-009-01</x:v>
      </x:c>
      <x:c r="C175" s="54" t="str">
        <x:v>Q-ALLERGY</x:v>
      </x:c>
      <x:c r="D175" s="61" t="str">
        <x:v>Are there any known medicine allergies?</x:v>
      </x:c>
      <x:c r="E175" s="54" t="str">
        <x:v>No known allergy reported</x:v>
      </x:c>
      <x:c r="F175" s="54" t="str">
        <x:v>REPORTED</x:v>
      </x:c>
      <x:c r="G175" s="64" t="n">
        <x:v>46267.43125</x:v>
      </x:c>
      <x:c r="H175" s="61" t="str">
        <x:v>Synthetic response</x:v>
      </x:c>
    </x:row>
    <x:row r="176" ht="36" customHeight="1">
      <x:c r="A176" s="54" t="str">
        <x:v>RESP-ENC-HSP-003-010-01</x:v>
      </x:c>
      <x:c r="B176" s="54" t="str">
        <x:v>INT-ENC-HSP-003-010-01</x:v>
      </x:c>
      <x:c r="C176" s="54" t="str">
        <x:v>Q-ONSET</x:v>
      </x:c>
      <x:c r="D176" s="61" t="str">
        <x:v>When did the current problem begin?</x:v>
      </x:c>
      <x:c r="E176" s="54" t="str">
        <x:v>Earlier today</x:v>
      </x:c>
      <x:c r="F176" s="54" t="str">
        <x:v>REPORTED</x:v>
      </x:c>
      <x:c r="G176" s="64" t="n">
        <x:v>46267.43263888889</x:v>
      </x:c>
      <x:c r="H176" s="61" t="str">
        <x:v>Synthetic response</x:v>
      </x:c>
    </x:row>
    <x:row r="177" ht="36" customHeight="1">
      <x:c r="A177" s="54" t="str">
        <x:v>RESP-ENC-HSP-003-010-02</x:v>
      </x:c>
      <x:c r="B177" s="54" t="str">
        <x:v>INT-ENC-HSP-003-010-01</x:v>
      </x:c>
      <x:c r="C177" s="54" t="str">
        <x:v>Q-SEVERITY</x:v>
      </x:c>
      <x:c r="D177" s="61" t="str">
        <x:v>How severe is it right now from 0 to 10?</x:v>
      </x:c>
      <x:c r="E177" s="54" t="str">
        <x:v>5</x:v>
      </x:c>
      <x:c r="F177" s="54" t="str">
        <x:v>REPORTED</x:v>
      </x:c>
      <x:c r="G177" s="64" t="n">
        <x:v>46267.433333333334</x:v>
      </x:c>
      <x:c r="H177" s="61" t="str">
        <x:v>Synthetic response</x:v>
      </x:c>
    </x:row>
    <x:row r="178" ht="36" customHeight="1">
      <x:c r="A178" s="54" t="str">
        <x:v>RESP-ENC-HSP-003-010-03</x:v>
      </x:c>
      <x:c r="B178" s="54" t="str">
        <x:v>INT-ENC-HSP-003-010-01</x:v>
      </x:c>
      <x:c r="C178" s="54" t="str">
        <x:v>Q-ASSOCIATED</x:v>
      </x:c>
      <x:c r="D178" s="61" t="str">
        <x:v>What other symptoms are present?</x:v>
      </x:c>
      <x:c r="E178" s="54" t="str">
        <x:v>No additional symptom volunteered</x:v>
      </x:c>
      <x:c r="F178" s="54" t="str">
        <x:v>REPORTED</x:v>
      </x:c>
      <x:c r="G178" s="64" t="n">
        <x:v>46267.43402777778</x:v>
      </x:c>
      <x:c r="H178" s="61" t="str">
        <x:v>Synthetic response</x:v>
      </x:c>
    </x:row>
    <x:row r="179" ht="36" customHeight="1">
      <x:c r="A179" s="54" t="str">
        <x:v>RESP-ENC-HSP-003-010-04</x:v>
      </x:c>
      <x:c r="B179" s="54" t="str">
        <x:v>INT-ENC-HSP-003-010-01</x:v>
      </x:c>
      <x:c r="C179" s="54" t="str">
        <x:v>Q-WORSENING</x:v>
      </x:c>
      <x:c r="D179" s="61" t="str">
        <x:v>Is the problem getting worse?</x:v>
      </x:c>
      <x:c r="E179" s="54" t="str">
        <x:v>No</x:v>
      </x:c>
      <x:c r="F179" s="54" t="str">
        <x:v>REPORTED</x:v>
      </x:c>
      <x:c r="G179" s="64" t="n">
        <x:v>46267.43472222222</x:v>
      </x:c>
      <x:c r="H179" s="61" t="str">
        <x:v>Synthetic response</x:v>
      </x:c>
    </x:row>
    <x:row r="180" ht="36" customHeight="1">
      <x:c r="A180" s="54" t="str">
        <x:v>RESP-ENC-HSP-003-010-05</x:v>
      </x:c>
      <x:c r="B180" s="54" t="str">
        <x:v>INT-ENC-HSP-003-010-01</x:v>
      </x:c>
      <x:c r="C180" s="54" t="str">
        <x:v>Q-MEDICATION</x:v>
      </x:c>
      <x:c r="D180" s="61" t="str">
        <x:v>Was any medicine taken for this problem?</x:v>
      </x:c>
      <x:c r="E180" s="54" t="str">
        <x:v>None reported</x:v>
      </x:c>
      <x:c r="F180" s="54" t="str">
        <x:v>REPORTED</x:v>
      </x:c>
      <x:c r="G180" s="64" t="n">
        <x:v>46267.43541666667</x:v>
      </x:c>
      <x:c r="H180" s="61" t="str">
        <x:v>Synthetic response</x:v>
      </x:c>
    </x:row>
    <x:row r="181" ht="36" customHeight="1">
      <x:c r="A181" s="54" t="str">
        <x:v>RESP-ENC-HSP-003-010-06</x:v>
      </x:c>
      <x:c r="B181" s="54" t="str">
        <x:v>INT-ENC-HSP-003-010-01</x:v>
      </x:c>
      <x:c r="C181" s="54" t="str">
        <x:v>Q-ALLERGY</x:v>
      </x:c>
      <x:c r="D181" s="61" t="str">
        <x:v>Are there any known medicine allergies?</x:v>
      </x:c>
      <x:c r="E181" s="54" t="str">
        <x:v>No known allergy reported</x:v>
      </x:c>
      <x:c r="F181" s="54" t="str">
        <x:v>REPORTED</x:v>
      </x:c>
      <x:c r="G181" s="64" t="n">
        <x:v>46267.436111111114</x:v>
      </x:c>
      <x:c r="H181" s="61" t="str">
        <x:v>Synthetic response</x:v>
      </x:c>
    </x:row>
    <x:row r="182" ht="36" customHeight="1">
      <x:c r="A182" s="54" t="str">
        <x:v>RESP-ENC-HSP-004-001-01</x:v>
      </x:c>
      <x:c r="B182" s="54" t="str">
        <x:v>INT-ENC-HSP-004-001-01</x:v>
      </x:c>
      <x:c r="C182" s="54" t="str">
        <x:v>Q-ONSET</x:v>
      </x:c>
      <x:c r="D182" s="61" t="str">
        <x:v>When did the current problem begin?</x:v>
      </x:c>
      <x:c r="E182" s="54" t="str">
        <x:v>Within the last 24 hours</x:v>
      </x:c>
      <x:c r="F182" s="54" t="str">
        <x:v>REPORTED</x:v>
      </x:c>
      <x:c r="G182" s="64" t="n">
        <x:v>46267.34930555556</x:v>
      </x:c>
      <x:c r="H182" s="61" t="str">
        <x:v>Synthetic response</x:v>
      </x:c>
    </x:row>
    <x:row r="183" ht="36" customHeight="1">
      <x:c r="A183" s="54" t="str">
        <x:v>RESP-ENC-HSP-004-001-02</x:v>
      </x:c>
      <x:c r="B183" s="54" t="str">
        <x:v>INT-ENC-HSP-004-001-01</x:v>
      </x:c>
      <x:c r="C183" s="54" t="str">
        <x:v>Q-SEVERITY</x:v>
      </x:c>
      <x:c r="D183" s="61" t="str">
        <x:v>How severe is it right now from 0 to 10?</x:v>
      </x:c>
      <x:c r="E183" s="54" t="str">
        <x:v>5</x:v>
      </x:c>
      <x:c r="F183" s="54" t="str">
        <x:v>REPORTED</x:v>
      </x:c>
      <x:c r="G183" s="64" t="n">
        <x:v>46267.35</x:v>
      </x:c>
      <x:c r="H183" s="61" t="str">
        <x:v>Synthetic response</x:v>
      </x:c>
    </x:row>
    <x:row r="184" ht="36" customHeight="1">
      <x:c r="A184" s="54" t="str">
        <x:v>RESP-ENC-HSP-004-001-03</x:v>
      </x:c>
      <x:c r="B184" s="54" t="str">
        <x:v>INT-ENC-HSP-004-001-01</x:v>
      </x:c>
      <x:c r="C184" s="54" t="str">
        <x:v>Q-ASSOCIATED</x:v>
      </x:c>
      <x:c r="D184" s="61" t="str">
        <x:v>What other symptoms are present?</x:v>
      </x:c>
      <x:c r="E184" s="54" t="str">
        <x:v>No additional symptom volunteered</x:v>
      </x:c>
      <x:c r="F184" s="54" t="str">
        <x:v>REPORTED</x:v>
      </x:c>
      <x:c r="G184" s="64" t="n">
        <x:v>46267.350694444445</x:v>
      </x:c>
      <x:c r="H184" s="61" t="str">
        <x:v>Synthetic response</x:v>
      </x:c>
    </x:row>
    <x:row r="185" ht="36" customHeight="1">
      <x:c r="A185" s="54" t="str">
        <x:v>RESP-ENC-HSP-004-001-04</x:v>
      </x:c>
      <x:c r="B185" s="54" t="str">
        <x:v>INT-ENC-HSP-004-001-01</x:v>
      </x:c>
      <x:c r="C185" s="54" t="str">
        <x:v>Q-WORSENING</x:v>
      </x:c>
      <x:c r="D185" s="61" t="str">
        <x:v>Is the problem getting worse?</x:v>
      </x:c>
      <x:c r="E185" s="54" t="str">
        <x:v>No</x:v>
      </x:c>
      <x:c r="F185" s="54" t="str">
        <x:v>REPORTED</x:v>
      </x:c>
      <x:c r="G185" s="64" t="n">
        <x:v>46267.35138888889</x:v>
      </x:c>
      <x:c r="H185" s="61" t="str">
        <x:v>Synthetic response</x:v>
      </x:c>
    </x:row>
    <x:row r="186" ht="36" customHeight="1">
      <x:c r="A186" s="54" t="str">
        <x:v>RESP-ENC-HSP-004-001-05</x:v>
      </x:c>
      <x:c r="B186" s="54" t="str">
        <x:v>INT-ENC-HSP-004-001-01</x:v>
      </x:c>
      <x:c r="C186" s="54" t="str">
        <x:v>Q-MEDICATION</x:v>
      </x:c>
      <x:c r="D186" s="61" t="str">
        <x:v>Was any medicine taken for this problem?</x:v>
      </x:c>
      <x:c r="E186" s="54" t="str">
        <x:v>None reported</x:v>
      </x:c>
      <x:c r="F186" s="54" t="str">
        <x:v>REPORTED</x:v>
      </x:c>
      <x:c r="G186" s="64" t="n">
        <x:v>46267.35208333333</x:v>
      </x:c>
      <x:c r="H186" s="61" t="str">
        <x:v>Synthetic response</x:v>
      </x:c>
    </x:row>
    <x:row r="187" ht="36" customHeight="1">
      <x:c r="A187" s="54" t="str">
        <x:v>RESP-ENC-HSP-004-001-06</x:v>
      </x:c>
      <x:c r="B187" s="54" t="str">
        <x:v>INT-ENC-HSP-004-001-01</x:v>
      </x:c>
      <x:c r="C187" s="54" t="str">
        <x:v>Q-ALLERGY</x:v>
      </x:c>
      <x:c r="D187" s="61" t="str">
        <x:v>Are there any known medicine allergies?</x:v>
      </x:c>
      <x:c r="E187" s="54" t="str">
        <x:v>No known allergy reported</x:v>
      </x:c>
      <x:c r="F187" s="54" t="str">
        <x:v>REPORTED</x:v>
      </x:c>
      <x:c r="G187" s="64" t="n">
        <x:v>46267.35277777778</x:v>
      </x:c>
      <x:c r="H187" s="61" t="str">
        <x:v>Synthetic response</x:v>
      </x:c>
    </x:row>
    <x:row r="188" ht="36" customHeight="1">
      <x:c r="A188" s="54" t="str">
        <x:v>RESP-ENC-HSP-004-002-01</x:v>
      </x:c>
      <x:c r="B188" s="54" t="str">
        <x:v>INT-ENC-HSP-004-002-01</x:v>
      </x:c>
      <x:c r="C188" s="54" t="str">
        <x:v>Q-ONSET</x:v>
      </x:c>
      <x:c r="D188" s="61" t="str">
        <x:v>When did the current problem begin?</x:v>
      </x:c>
      <x:c r="E188" s="54" t="str">
        <x:v>Earlier today</x:v>
      </x:c>
      <x:c r="F188" s="54" t="str">
        <x:v>REPORTED</x:v>
      </x:c>
      <x:c r="G188" s="64" t="n">
        <x:v>46267.354166666664</x:v>
      </x:c>
      <x:c r="H188" s="61" t="str">
        <x:v>Synthetic response</x:v>
      </x:c>
    </x:row>
    <x:row r="189" ht="36" customHeight="1">
      <x:c r="A189" s="54" t="str">
        <x:v>RESP-ENC-HSP-004-002-02</x:v>
      </x:c>
      <x:c r="B189" s="54" t="str">
        <x:v>INT-ENC-HSP-004-002-01</x:v>
      </x:c>
      <x:c r="C189" s="54" t="str">
        <x:v>Q-SEVERITY</x:v>
      </x:c>
      <x:c r="D189" s="61" t="str">
        <x:v>How severe is it right now from 0 to 10?</x:v>
      </x:c>
      <x:c r="E189" s="54" t="str">
        <x:v>5</x:v>
      </x:c>
      <x:c r="F189" s="54" t="str">
        <x:v>REPORTED</x:v>
      </x:c>
      <x:c r="G189" s="64" t="n">
        <x:v>46267.35486111111</x:v>
      </x:c>
      <x:c r="H189" s="61" t="str">
        <x:v>Synthetic response</x:v>
      </x:c>
    </x:row>
    <x:row r="190" ht="36" customHeight="1">
      <x:c r="A190" s="54" t="str">
        <x:v>RESP-ENC-HSP-004-002-03</x:v>
      </x:c>
      <x:c r="B190" s="54" t="str">
        <x:v>INT-ENC-HSP-004-002-01</x:v>
      </x:c>
      <x:c r="C190" s="54" t="str">
        <x:v>Q-ASSOCIATED</x:v>
      </x:c>
      <x:c r="D190" s="61" t="str">
        <x:v>What other symptoms are present?</x:v>
      </x:c>
      <x:c r="E190" s="54" t="str">
        <x:v>No additional symptom volunteered</x:v>
      </x:c>
      <x:c r="F190" s="54" t="str">
        <x:v>REPORTED</x:v>
      </x:c>
      <x:c r="G190" s="64" t="n">
        <x:v>46267.35555555556</x:v>
      </x:c>
      <x:c r="H190" s="61" t="str">
        <x:v>Synthetic response</x:v>
      </x:c>
    </x:row>
    <x:row r="191" ht="36" customHeight="1">
      <x:c r="A191" s="54" t="str">
        <x:v>RESP-ENC-HSP-004-002-04</x:v>
      </x:c>
      <x:c r="B191" s="54" t="str">
        <x:v>INT-ENC-HSP-004-002-01</x:v>
      </x:c>
      <x:c r="C191" s="54" t="str">
        <x:v>Q-WORSENING</x:v>
      </x:c>
      <x:c r="D191" s="61" t="str">
        <x:v>Is the problem getting worse?</x:v>
      </x:c>
      <x:c r="E191" s="54" t="str">
        <x:v>No</x:v>
      </x:c>
      <x:c r="F191" s="54" t="str">
        <x:v>REPORTED</x:v>
      </x:c>
      <x:c r="G191" s="64" t="n">
        <x:v>46267.35625</x:v>
      </x:c>
      <x:c r="H191" s="61" t="str">
        <x:v>Synthetic response</x:v>
      </x:c>
    </x:row>
    <x:row r="192" ht="36" customHeight="1">
      <x:c r="A192" s="54" t="str">
        <x:v>RESP-ENC-HSP-004-002-05</x:v>
      </x:c>
      <x:c r="B192" s="54" t="str">
        <x:v>INT-ENC-HSP-004-002-01</x:v>
      </x:c>
      <x:c r="C192" s="54" t="str">
        <x:v>Q-MEDICATION</x:v>
      </x:c>
      <x:c r="D192" s="61" t="str">
        <x:v>Was any medicine taken for this problem?</x:v>
      </x:c>
      <x:c r="E192" s="54" t="str">
        <x:v>None reported</x:v>
      </x:c>
      <x:c r="F192" s="54" t="str">
        <x:v>REPORTED</x:v>
      </x:c>
      <x:c r="G192" s="64" t="n">
        <x:v>46267.356944444444</x:v>
      </x:c>
      <x:c r="H192" s="61" t="str">
        <x:v>Synthetic response</x:v>
      </x:c>
    </x:row>
    <x:row r="193" ht="36" customHeight="1">
      <x:c r="A193" s="54" t="str">
        <x:v>RESP-ENC-HSP-004-002-06</x:v>
      </x:c>
      <x:c r="B193" s="54" t="str">
        <x:v>INT-ENC-HSP-004-002-01</x:v>
      </x:c>
      <x:c r="C193" s="54" t="str">
        <x:v>Q-ALLERGY</x:v>
      </x:c>
      <x:c r="D193" s="61" t="str">
        <x:v>Are there any known medicine allergies?</x:v>
      </x:c>
      <x:c r="E193" s="54" t="str">
        <x:v>No known allergy reported</x:v>
      </x:c>
      <x:c r="F193" s="54" t="str">
        <x:v>REPORTED</x:v>
      </x:c>
      <x:c r="G193" s="64" t="n">
        <x:v>46267.35763888889</x:v>
      </x:c>
      <x:c r="H193" s="61" t="str">
        <x:v>Synthetic response</x:v>
      </x:c>
    </x:row>
    <x:row r="194" ht="36" customHeight="1">
      <x:c r="A194" s="54" t="str">
        <x:v>RESP-ENC-HSP-004-003-01</x:v>
      </x:c>
      <x:c r="B194" s="54" t="str">
        <x:v>INT-ENC-HSP-004-003-01</x:v>
      </x:c>
      <x:c r="C194" s="54" t="str">
        <x:v>Q-ONSET</x:v>
      </x:c>
      <x:c r="D194" s="61" t="str">
        <x:v>When did the current problem begin?</x:v>
      </x:c>
      <x:c r="E194" s="54" t="str">
        <x:v>Within the last 24 hours</x:v>
      </x:c>
      <x:c r="F194" s="54" t="str">
        <x:v>REPORTED</x:v>
      </x:c>
      <x:c r="G194" s="64" t="n">
        <x:v>46267.35902777778</x:v>
      </x:c>
      <x:c r="H194" s="61" t="str">
        <x:v>Synthetic response</x:v>
      </x:c>
    </x:row>
    <x:row r="195" ht="36" customHeight="1">
      <x:c r="A195" s="54" t="str">
        <x:v>RESP-ENC-HSP-004-003-02</x:v>
      </x:c>
      <x:c r="B195" s="54" t="str">
        <x:v>INT-ENC-HSP-004-003-01</x:v>
      </x:c>
      <x:c r="C195" s="54" t="str">
        <x:v>Q-SEVERITY</x:v>
      </x:c>
      <x:c r="D195" s="61" t="str">
        <x:v>How severe is it right now from 0 to 10?</x:v>
      </x:c>
      <x:c r="E195" s="54" t="str">
        <x:v>6</x:v>
      </x:c>
      <x:c r="F195" s="54" t="str">
        <x:v>REPORTED</x:v>
      </x:c>
      <x:c r="G195" s="64" t="n">
        <x:v>46267.35972222222</x:v>
      </x:c>
      <x:c r="H195" s="61" t="str">
        <x:v>Synthetic response</x:v>
      </x:c>
    </x:row>
    <x:row r="196" ht="36" customHeight="1">
      <x:c r="A196" s="54" t="str">
        <x:v>RESP-ENC-HSP-004-003-03</x:v>
      </x:c>
      <x:c r="B196" s="54" t="str">
        <x:v>INT-ENC-HSP-004-003-01</x:v>
      </x:c>
      <x:c r="C196" s="54" t="str">
        <x:v>Q-ASSOCIATED</x:v>
      </x:c>
      <x:c r="D196" s="61" t="str">
        <x:v>What other symptoms are present?</x:v>
      </x:c>
      <x:c r="E196" s="54" t="str">
        <x:v>No additional symptom volunteered</x:v>
      </x:c>
      <x:c r="F196" s="54" t="str">
        <x:v>REPORTED</x:v>
      </x:c>
      <x:c r="G196" s="64" t="n">
        <x:v>46267.36041666667</x:v>
      </x:c>
      <x:c r="H196" s="61" t="str">
        <x:v>Synthetic response</x:v>
      </x:c>
    </x:row>
    <x:row r="197" ht="36" customHeight="1">
      <x:c r="A197" s="54" t="str">
        <x:v>RESP-ENC-HSP-004-003-04</x:v>
      </x:c>
      <x:c r="B197" s="54" t="str">
        <x:v>INT-ENC-HSP-004-003-01</x:v>
      </x:c>
      <x:c r="C197" s="54" t="str">
        <x:v>Q-WORSENING</x:v>
      </x:c>
      <x:c r="D197" s="61" t="str">
        <x:v>Is the problem getting worse?</x:v>
      </x:c>
      <x:c r="E197" s="54" t="str">
        <x:v>No</x:v>
      </x:c>
      <x:c r="F197" s="54" t="str">
        <x:v>REPORTED</x:v>
      </x:c>
      <x:c r="G197" s="64" t="n">
        <x:v>46267.36111111111</x:v>
      </x:c>
      <x:c r="H197" s="61" t="str">
        <x:v>Synthetic response</x:v>
      </x:c>
    </x:row>
    <x:row r="198" ht="36" customHeight="1">
      <x:c r="A198" s="54" t="str">
        <x:v>RESP-ENC-HSP-004-003-05</x:v>
      </x:c>
      <x:c r="B198" s="54" t="str">
        <x:v>INT-ENC-HSP-004-003-01</x:v>
      </x:c>
      <x:c r="C198" s="54" t="str">
        <x:v>Q-MEDICATION</x:v>
      </x:c>
      <x:c r="D198" s="61" t="str">
        <x:v>Was any medicine taken for this problem?</x:v>
      </x:c>
      <x:c r="E198" s="54" t="str">
        <x:v>Unspecified over-the-counter medicine; verify</x:v>
      </x:c>
      <x:c r="F198" s="54" t="str">
        <x:v>REPORTED</x:v>
      </x:c>
      <x:c r="G198" s="64" t="n">
        <x:v>46267.361805555556</x:v>
      </x:c>
      <x:c r="H198" s="61" t="str">
        <x:v>Synthetic response</x:v>
      </x:c>
    </x:row>
    <x:row r="199" ht="36" customHeight="1">
      <x:c r="A199" s="54" t="str">
        <x:v>RESP-ENC-HSP-004-003-06</x:v>
      </x:c>
      <x:c r="B199" s="54" t="str">
        <x:v>INT-ENC-HSP-004-003-01</x:v>
      </x:c>
      <x:c r="C199" s="54" t="str">
        <x:v>Q-ALLERGY</x:v>
      </x:c>
      <x:c r="D199" s="61" t="str">
        <x:v>Are there any known medicine allergies?</x:v>
      </x:c>
      <x:c r="E199" s="54" t="str">
        <x:v>No known allergy reported</x:v>
      </x:c>
      <x:c r="F199" s="54" t="str">
        <x:v>REPORTED</x:v>
      </x:c>
      <x:c r="G199" s="64" t="n">
        <x:v>46267.3625</x:v>
      </x:c>
      <x:c r="H199" s="61" t="str">
        <x:v>Synthetic response</x:v>
      </x:c>
    </x:row>
    <x:row r="200" ht="36" customHeight="1">
      <x:c r="A200" s="54" t="str">
        <x:v>RESP-ENC-HSP-004-004-01</x:v>
      </x:c>
      <x:c r="B200" s="54" t="str">
        <x:v>INT-ENC-HSP-004-004-01</x:v>
      </x:c>
      <x:c r="C200" s="54" t="str">
        <x:v>Q-ONSET</x:v>
      </x:c>
      <x:c r="D200" s="61" t="str">
        <x:v>When did the current problem begin?</x:v>
      </x:c>
      <x:c r="E200" s="54" t="str">
        <x:v>Earlier today</x:v>
      </x:c>
      <x:c r="F200" s="54" t="str">
        <x:v>REPORTED</x:v>
      </x:c>
      <x:c r="G200" s="64" t="n">
        <x:v>46267.40555555555</x:v>
      </x:c>
      <x:c r="H200" s="61" t="str">
        <x:v>Synthetic response</x:v>
      </x:c>
    </x:row>
    <x:row r="201" ht="36" customHeight="1">
      <x:c r="A201" s="54" t="str">
        <x:v>RESP-ENC-HSP-004-004-02</x:v>
      </x:c>
      <x:c r="B201" s="54" t="str">
        <x:v>INT-ENC-HSP-004-004-01</x:v>
      </x:c>
      <x:c r="C201" s="54" t="str">
        <x:v>Q-SEVERITY</x:v>
      </x:c>
      <x:c r="D201" s="61" t="str">
        <x:v>How severe is it right now from 0 to 10?</x:v>
      </x:c>
      <x:c r="E201" s="54" t="str">
        <x:v>6</x:v>
      </x:c>
      <x:c r="F201" s="54" t="str">
        <x:v>REPORTED</x:v>
      </x:c>
      <x:c r="G201" s="64" t="n">
        <x:v>46267.40625</x:v>
      </x:c>
      <x:c r="H201" s="61" t="str">
        <x:v>Synthetic response</x:v>
      </x:c>
    </x:row>
    <x:row r="202" ht="36" customHeight="1">
      <x:c r="A202" s="54" t="str">
        <x:v>RESP-ENC-HSP-004-004-03</x:v>
      </x:c>
      <x:c r="B202" s="54" t="str">
        <x:v>INT-ENC-HSP-004-004-01</x:v>
      </x:c>
      <x:c r="C202" s="54" t="str">
        <x:v>Q-ASSOCIATED</x:v>
      </x:c>
      <x:c r="D202" s="61" t="str">
        <x:v>What other symptoms are present?</x:v>
      </x:c>
      <x:c r="E202" s="54" t="str">
        <x:v>No additional symptom volunteered</x:v>
      </x:c>
      <x:c r="F202" s="54" t="str">
        <x:v>REPORTED</x:v>
      </x:c>
      <x:c r="G202" s="64" t="n">
        <x:v>46267.40694444445</x:v>
      </x:c>
      <x:c r="H202" s="61" t="str">
        <x:v>Synthetic response</x:v>
      </x:c>
    </x:row>
    <x:row r="203" ht="36" customHeight="1">
      <x:c r="A203" s="54" t="str">
        <x:v>RESP-ENC-HSP-004-004-04</x:v>
      </x:c>
      <x:c r="B203" s="54" t="str">
        <x:v>INT-ENC-HSP-004-004-01</x:v>
      </x:c>
      <x:c r="C203" s="54" t="str">
        <x:v>Q-WORSENING</x:v>
      </x:c>
      <x:c r="D203" s="61" t="str">
        <x:v>Is the problem getting worse?</x:v>
      </x:c>
      <x:c r="E203" s="54" t="str">
        <x:v>No</x:v>
      </x:c>
      <x:c r="F203" s="54" t="str">
        <x:v>REPORTED</x:v>
      </x:c>
      <x:c r="G203" s="64" t="n">
        <x:v>46267.407638888886</x:v>
      </x:c>
      <x:c r="H203" s="61" t="str">
        <x:v>Synthetic response</x:v>
      </x:c>
    </x:row>
    <x:row r="204" ht="36" customHeight="1">
      <x:c r="A204" s="54" t="str">
        <x:v>RESP-ENC-HSP-004-004-05</x:v>
      </x:c>
      <x:c r="B204" s="54" t="str">
        <x:v>INT-ENC-HSP-004-004-01</x:v>
      </x:c>
      <x:c r="C204" s="54" t="str">
        <x:v>Q-MEDICATION</x:v>
      </x:c>
      <x:c r="D204" s="61" t="str">
        <x:v>Was any medicine taken for this problem?</x:v>
      </x:c>
      <x:c r="E204" s="54" t="str">
        <x:v>None reported</x:v>
      </x:c>
      <x:c r="F204" s="54" t="str">
        <x:v>REPORTED</x:v>
      </x:c>
      <x:c r="G204" s="64" t="n">
        <x:v>46267.40833333333</x:v>
      </x:c>
      <x:c r="H204" s="61" t="str">
        <x:v>Synthetic response</x:v>
      </x:c>
    </x:row>
    <x:row r="205" ht="36" customHeight="1">
      <x:c r="A205" s="54" t="str">
        <x:v>RESP-ENC-HSP-004-004-06</x:v>
      </x:c>
      <x:c r="B205" s="54" t="str">
        <x:v>INT-ENC-HSP-004-004-01</x:v>
      </x:c>
      <x:c r="C205" s="54" t="str">
        <x:v>Q-ALLERGY</x:v>
      </x:c>
      <x:c r="D205" s="61" t="str">
        <x:v>Are there any known medicine allergies?</x:v>
      </x:c>
      <x:c r="E205" s="54" t="str">
        <x:v>No known allergy reported</x:v>
      </x:c>
      <x:c r="F205" s="54" t="str">
        <x:v>REPORTED</x:v>
      </x:c>
      <x:c r="G205" s="64" t="n">
        <x:v>46267.40902777778</x:v>
      </x:c>
      <x:c r="H205" s="61" t="str">
        <x:v>Synthetic response</x:v>
      </x:c>
    </x:row>
    <x:row r="206" ht="36" customHeight="1">
      <x:c r="A206" s="54" t="str">
        <x:v>RESP-ENC-HSP-004-005-01</x:v>
      </x:c>
      <x:c r="B206" s="54" t="str">
        <x:v>INT-ENC-HSP-004-005-01</x:v>
      </x:c>
      <x:c r="C206" s="54" t="str">
        <x:v>Q-ONSET</x:v>
      </x:c>
      <x:c r="D206" s="61" t="str">
        <x:v>When did the current problem begin?</x:v>
      </x:c>
      <x:c r="E206" s="54" t="str">
        <x:v>Within the last 24 hours</x:v>
      </x:c>
      <x:c r="F206" s="54" t="str">
        <x:v>REPORTED</x:v>
      </x:c>
      <x:c r="G206" s="64" t="n">
        <x:v>46267.410416666666</x:v>
      </x:c>
      <x:c r="H206" s="61" t="str">
        <x:v>Synthetic response</x:v>
      </x:c>
    </x:row>
    <x:row r="207" ht="36" customHeight="1">
      <x:c r="A207" s="54" t="str">
        <x:v>RESP-ENC-HSP-004-005-02</x:v>
      </x:c>
      <x:c r="B207" s="54" t="str">
        <x:v>INT-ENC-HSP-004-005-01</x:v>
      </x:c>
      <x:c r="C207" s="54" t="str">
        <x:v>Q-SEVERITY</x:v>
      </x:c>
      <x:c r="D207" s="61" t="str">
        <x:v>How severe is it right now from 0 to 10?</x:v>
      </x:c>
      <x:c r="E207" s="54" t="str">
        <x:v>7</x:v>
      </x:c>
      <x:c r="F207" s="54" t="str">
        <x:v>REPORTED</x:v>
      </x:c>
      <x:c r="G207" s="64" t="n">
        <x:v>46267.41111111111</x:v>
      </x:c>
      <x:c r="H207" s="61" t="str">
        <x:v>Synthetic response</x:v>
      </x:c>
    </x:row>
    <x:row r="208" ht="36" customHeight="1">
      <x:c r="A208" s="54" t="str">
        <x:v>RESP-ENC-HSP-004-005-03</x:v>
      </x:c>
      <x:c r="B208" s="54" t="str">
        <x:v>INT-ENC-HSP-004-005-01</x:v>
      </x:c>
      <x:c r="C208" s="54" t="str">
        <x:v>Q-ASSOCIATED</x:v>
      </x:c>
      <x:c r="D208" s="61" t="str">
        <x:v>What other symptoms are present?</x:v>
      </x:c>
      <x:c r="E208" s="54" t="str">
        <x:v>No additional symptom volunteered</x:v>
      </x:c>
      <x:c r="F208" s="54" t="str">
        <x:v>REPORTED</x:v>
      </x:c>
      <x:c r="G208" s="64" t="n">
        <x:v>46267.41180555556</x:v>
      </x:c>
      <x:c r="H208" s="61" t="str">
        <x:v>Synthetic response</x:v>
      </x:c>
    </x:row>
    <x:row r="209" ht="36" customHeight="1">
      <x:c r="A209" s="54" t="str">
        <x:v>RESP-ENC-HSP-004-005-04</x:v>
      </x:c>
      <x:c r="B209" s="54" t="str">
        <x:v>INT-ENC-HSP-004-005-01</x:v>
      </x:c>
      <x:c r="C209" s="54" t="str">
        <x:v>Q-WORSENING</x:v>
      </x:c>
      <x:c r="D209" s="61" t="str">
        <x:v>Is the problem getting worse?</x:v>
      </x:c>
      <x:c r="E209" s="54" t="str">
        <x:v>No</x:v>
      </x:c>
      <x:c r="F209" s="54" t="str">
        <x:v>REPORTED</x:v>
      </x:c>
      <x:c r="G209" s="64" t="n">
        <x:v>46267.4125</x:v>
      </x:c>
      <x:c r="H209" s="61" t="str">
        <x:v>Synthetic response</x:v>
      </x:c>
    </x:row>
    <x:row r="210" ht="36" customHeight="1">
      <x:c r="A210" s="54" t="str">
        <x:v>RESP-ENC-HSP-004-005-05</x:v>
      </x:c>
      <x:c r="B210" s="54" t="str">
        <x:v>INT-ENC-HSP-004-005-01</x:v>
      </x:c>
      <x:c r="C210" s="54" t="str">
        <x:v>Q-MEDICATION</x:v>
      </x:c>
      <x:c r="D210" s="61" t="str">
        <x:v>Was any medicine taken for this problem?</x:v>
      </x:c>
      <x:c r="E210" s="54" t="str">
        <x:v>None reported</x:v>
      </x:c>
      <x:c r="F210" s="54" t="str">
        <x:v>REPORTED</x:v>
      </x:c>
      <x:c r="G210" s="64" t="n">
        <x:v>46267.413194444445</x:v>
      </x:c>
      <x:c r="H210" s="61" t="str">
        <x:v>Synthetic response</x:v>
      </x:c>
    </x:row>
    <x:row r="211" ht="36" customHeight="1">
      <x:c r="A211" s="54" t="str">
        <x:v>RESP-ENC-HSP-004-005-06</x:v>
      </x:c>
      <x:c r="B211" s="54" t="str">
        <x:v>INT-ENC-HSP-004-005-01</x:v>
      </x:c>
      <x:c r="C211" s="54" t="str">
        <x:v>Q-ALLERGY</x:v>
      </x:c>
      <x:c r="D211" s="61" t="str">
        <x:v>Are there any known medicine allergies?</x:v>
      </x:c>
      <x:c r="E211" s="54" t="str">
        <x:v>No known allergy reported</x:v>
      </x:c>
      <x:c r="F211" s="54" t="str">
        <x:v>REPORTED</x:v>
      </x:c>
      <x:c r="G211" s="64" t="n">
        <x:v>46267.41388888889</x:v>
      </x:c>
      <x:c r="H211" s="61" t="str">
        <x:v>Synthetic response</x:v>
      </x:c>
    </x:row>
    <x:row r="212" ht="36" customHeight="1">
      <x:c r="A212" s="54" t="str">
        <x:v>RESP-ENC-HSP-004-006-01</x:v>
      </x:c>
      <x:c r="B212" s="54" t="str">
        <x:v>INT-ENC-HSP-004-006-01</x:v>
      </x:c>
      <x:c r="C212" s="54" t="str">
        <x:v>Q-ONSET</x:v>
      </x:c>
      <x:c r="D212" s="61" t="str">
        <x:v>When did the current problem begin?</x:v>
      </x:c>
      <x:c r="E212" s="54" t="str">
        <x:v>Earlier today</x:v>
      </x:c>
      <x:c r="F212" s="54" t="str">
        <x:v>REPORTED</x:v>
      </x:c>
      <x:c r="G212" s="64" t="n">
        <x:v>46267.41527777778</x:v>
      </x:c>
      <x:c r="H212" s="61" t="str">
        <x:v>Synthetic response</x:v>
      </x:c>
    </x:row>
    <x:row r="213" ht="36" customHeight="1">
      <x:c r="A213" s="54" t="str">
        <x:v>RESP-ENC-HSP-004-006-02</x:v>
      </x:c>
      <x:c r="B213" s="54" t="str">
        <x:v>INT-ENC-HSP-004-006-01</x:v>
      </x:c>
      <x:c r="C213" s="54" t="str">
        <x:v>Q-SEVERITY</x:v>
      </x:c>
      <x:c r="D213" s="61" t="str">
        <x:v>How severe is it right now from 0 to 10?</x:v>
      </x:c>
      <x:c r="E213" s="54" t="str">
        <x:v>8</x:v>
      </x:c>
      <x:c r="F213" s="54" t="str">
        <x:v>REPORTED</x:v>
      </x:c>
      <x:c r="G213" s="64" t="n">
        <x:v>46267.415972222225</x:v>
      </x:c>
      <x:c r="H213" s="61" t="str">
        <x:v>Synthetic response</x:v>
      </x:c>
    </x:row>
    <x:row r="214" ht="36" customHeight="1">
      <x:c r="A214" s="54" t="str">
        <x:v>RESP-ENC-HSP-004-006-03</x:v>
      </x:c>
      <x:c r="B214" s="54" t="str">
        <x:v>INT-ENC-HSP-004-006-01</x:v>
      </x:c>
      <x:c r="C214" s="54" t="str">
        <x:v>Q-ASSOCIATED</x:v>
      </x:c>
      <x:c r="D214" s="61" t="str">
        <x:v>What other symptoms are present?</x:v>
      </x:c>
      <x:c r="E214" s="54" t="str">
        <x:v>No additional symptom volunteered</x:v>
      </x:c>
      <x:c r="F214" s="54" t="str">
        <x:v>REPORTED</x:v>
      </x:c>
      <x:c r="G214" s="64" t="n">
        <x:v>46267.416666666664</x:v>
      </x:c>
      <x:c r="H214" s="61" t="str">
        <x:v>Synthetic response</x:v>
      </x:c>
    </x:row>
    <x:row r="215" ht="36" customHeight="1">
      <x:c r="A215" s="54" t="str">
        <x:v>RESP-ENC-HSP-004-006-04</x:v>
      </x:c>
      <x:c r="B215" s="54" t="str">
        <x:v>INT-ENC-HSP-004-006-01</x:v>
      </x:c>
      <x:c r="C215" s="54" t="str">
        <x:v>Q-WORSENING</x:v>
      </x:c>
      <x:c r="D215" s="61" t="str">
        <x:v>Is the problem getting worse?</x:v>
      </x:c>
      <x:c r="E215" s="54" t="str">
        <x:v>Yes</x:v>
      </x:c>
      <x:c r="F215" s="54" t="str">
        <x:v>REPORTED</x:v>
      </x:c>
      <x:c r="G215" s="64" t="n">
        <x:v>46267.41736111111</x:v>
      </x:c>
      <x:c r="H215" s="61" t="str">
        <x:v>Synthetic response</x:v>
      </x:c>
    </x:row>
    <x:row r="216" ht="36" customHeight="1">
      <x:c r="A216" s="54" t="str">
        <x:v>RESP-ENC-HSP-004-006-05</x:v>
      </x:c>
      <x:c r="B216" s="54" t="str">
        <x:v>INT-ENC-HSP-004-006-01</x:v>
      </x:c>
      <x:c r="C216" s="54" t="str">
        <x:v>Q-MEDICATION</x:v>
      </x:c>
      <x:c r="D216" s="61" t="str">
        <x:v>Was any medicine taken for this problem?</x:v>
      </x:c>
      <x:c r="E216" s="54" t="str">
        <x:v>Unspecified over-the-counter medicine; verify</x:v>
      </x:c>
      <x:c r="F216" s="54" t="str">
        <x:v>REPORTED</x:v>
      </x:c>
      <x:c r="G216" s="64" t="n">
        <x:v>46267.41805555556</x:v>
      </x:c>
      <x:c r="H216" s="61" t="str">
        <x:v>Synthetic response</x:v>
      </x:c>
    </x:row>
    <x:row r="217" ht="36" customHeight="1">
      <x:c r="A217" s="54" t="str">
        <x:v>RESP-ENC-HSP-004-006-06</x:v>
      </x:c>
      <x:c r="B217" s="54" t="str">
        <x:v>INT-ENC-HSP-004-006-01</x:v>
      </x:c>
      <x:c r="C217" s="54" t="str">
        <x:v>Q-ALLERGY</x:v>
      </x:c>
      <x:c r="D217" s="61" t="str">
        <x:v>Are there any known medicine allergies?</x:v>
      </x:c>
      <x:c r="E217" s="54" t="str">
        <x:v>No known allergy reported</x:v>
      </x:c>
      <x:c r="F217" s="54" t="str">
        <x:v>REPORTED</x:v>
      </x:c>
      <x:c r="G217" s="64" t="n">
        <x:v>46267.41875</x:v>
      </x:c>
      <x:c r="H217" s="61" t="str">
        <x:v>Synthetic response</x:v>
      </x:c>
    </x:row>
    <x:row r="218" ht="36" customHeight="1">
      <x:c r="A218" s="54" t="str">
        <x:v>RESP-ENC-HSP-004-007-01</x:v>
      </x:c>
      <x:c r="B218" s="54" t="str">
        <x:v>INT-ENC-HSP-004-007-01</x:v>
      </x:c>
      <x:c r="C218" s="54" t="str">
        <x:v>Q-ONSET</x:v>
      </x:c>
      <x:c r="D218" s="61" t="str">
        <x:v>When did the current problem begin?</x:v>
      </x:c>
      <x:c r="E218" s="54" t="str">
        <x:v>Within the last 24 hours</x:v>
      </x:c>
      <x:c r="F218" s="54" t="str">
        <x:v>REPORTED</x:v>
      </x:c>
      <x:c r="G218" s="64" t="n">
        <x:v>46267.42013888889</x:v>
      </x:c>
      <x:c r="H218" s="61" t="str">
        <x:v>Synthetic response</x:v>
      </x:c>
    </x:row>
    <x:row r="219" ht="36" customHeight="1">
      <x:c r="A219" s="54" t="str">
        <x:v>RESP-ENC-HSP-004-007-02</x:v>
      </x:c>
      <x:c r="B219" s="54" t="str">
        <x:v>INT-ENC-HSP-004-007-01</x:v>
      </x:c>
      <x:c r="C219" s="54" t="str">
        <x:v>Q-SEVERITY</x:v>
      </x:c>
      <x:c r="D219" s="61" t="str">
        <x:v>How severe is it right now from 0 to 10?</x:v>
      </x:c>
      <x:c r="E219" s="54" t="str">
        <x:v>8</x:v>
      </x:c>
      <x:c r="F219" s="54" t="str">
        <x:v>REPORTED</x:v>
      </x:c>
      <x:c r="G219" s="64" t="n">
        <x:v>46267.42083333333</x:v>
      </x:c>
      <x:c r="H219" s="61" t="str">
        <x:v>Synthetic response</x:v>
      </x:c>
    </x:row>
    <x:row r="220" ht="36" customHeight="1">
      <x:c r="A220" s="54" t="str">
        <x:v>RESP-ENC-HSP-004-007-03</x:v>
      </x:c>
      <x:c r="B220" s="54" t="str">
        <x:v>INT-ENC-HSP-004-007-01</x:v>
      </x:c>
      <x:c r="C220" s="54" t="str">
        <x:v>Q-ASSOCIATED</x:v>
      </x:c>
      <x:c r="D220" s="61" t="str">
        <x:v>What other symptoms are present?</x:v>
      </x:c>
      <x:c r="E220" s="54" t="str">
        <x:v>No additional symptom volunteered</x:v>
      </x:c>
      <x:c r="F220" s="54" t="str">
        <x:v>REPORTED</x:v>
      </x:c>
      <x:c r="G220" s="64" t="n">
        <x:v>46267.42152777778</x:v>
      </x:c>
      <x:c r="H220" s="61" t="str">
        <x:v>Synthetic response</x:v>
      </x:c>
    </x:row>
    <x:row r="221" ht="36" customHeight="1">
      <x:c r="A221" s="54" t="str">
        <x:v>RESP-ENC-HSP-004-007-04</x:v>
      </x:c>
      <x:c r="B221" s="54" t="str">
        <x:v>INT-ENC-HSP-004-007-01</x:v>
      </x:c>
      <x:c r="C221" s="54" t="str">
        <x:v>Q-WORSENING</x:v>
      </x:c>
      <x:c r="D221" s="61" t="str">
        <x:v>Is the problem getting worse?</x:v>
      </x:c>
      <x:c r="E221" s="54" t="str">
        <x:v>Yes</x:v>
      </x:c>
      <x:c r="F221" s="54" t="str">
        <x:v>REPORTED</x:v>
      </x:c>
      <x:c r="G221" s="64" t="n">
        <x:v>46267.42222222222</x:v>
      </x:c>
      <x:c r="H221" s="61" t="str">
        <x:v>Synthetic response</x:v>
      </x:c>
    </x:row>
    <x:row r="222" ht="36" customHeight="1">
      <x:c r="A222" s="54" t="str">
        <x:v>RESP-ENC-HSP-004-007-05</x:v>
      </x:c>
      <x:c r="B222" s="54" t="str">
        <x:v>INT-ENC-HSP-004-007-01</x:v>
      </x:c>
      <x:c r="C222" s="54" t="str">
        <x:v>Q-MEDICATION</x:v>
      </x:c>
      <x:c r="D222" s="61" t="str">
        <x:v>Was any medicine taken for this problem?</x:v>
      </x:c>
      <x:c r="E222" s="54" t="str">
        <x:v>None reported</x:v>
      </x:c>
      <x:c r="F222" s="54" t="str">
        <x:v>REPORTED</x:v>
      </x:c>
      <x:c r="G222" s="64" t="n">
        <x:v>46267.42291666667</x:v>
      </x:c>
      <x:c r="H222" s="61" t="str">
        <x:v>Synthetic response</x:v>
      </x:c>
    </x:row>
    <x:row r="223" ht="36" customHeight="1">
      <x:c r="A223" s="54" t="str">
        <x:v>RESP-ENC-HSP-004-007-06</x:v>
      </x:c>
      <x:c r="B223" s="54" t="str">
        <x:v>INT-ENC-HSP-004-007-01</x:v>
      </x:c>
      <x:c r="C223" s="54" t="str">
        <x:v>Q-ALLERGY</x:v>
      </x:c>
      <x:c r="D223" s="61" t="str">
        <x:v>Are there any known medicine allergies?</x:v>
      </x:c>
      <x:c r="E223" s="54" t="str">
        <x:v>No known allergy reported</x:v>
      </x:c>
      <x:c r="F223" s="54" t="str">
        <x:v>REPORTED</x:v>
      </x:c>
      <x:c r="G223" s="64" t="n">
        <x:v>46267.42361111111</x:v>
      </x:c>
      <x:c r="H223" s="61" t="str">
        <x:v>Synthetic response</x:v>
      </x:c>
    </x:row>
    <x:row r="224" ht="36" customHeight="1">
      <x:c r="A224" s="54" t="str">
        <x:v>RESP-ENC-HSP-004-008-01</x:v>
      </x:c>
      <x:c r="B224" s="54" t="str">
        <x:v>INT-ENC-HSP-004-008-01</x:v>
      </x:c>
      <x:c r="C224" s="54" t="str">
        <x:v>Q-ONSET</x:v>
      </x:c>
      <x:c r="D224" s="61" t="str">
        <x:v>When did the current problem begin?</x:v>
      </x:c>
      <x:c r="E224" s="54" t="str">
        <x:v>Earlier today</x:v>
      </x:c>
      <x:c r="F224" s="54" t="str">
        <x:v>REPORTED</x:v>
      </x:c>
      <x:c r="G224" s="64" t="n">
        <x:v>46267.425</x:v>
      </x:c>
      <x:c r="H224" s="61" t="str">
        <x:v>Synthetic response</x:v>
      </x:c>
    </x:row>
    <x:row r="225" ht="36" customHeight="1">
      <x:c r="A225" s="54" t="str">
        <x:v>RESP-ENC-HSP-004-008-02</x:v>
      </x:c>
      <x:c r="B225" s="54" t="str">
        <x:v>INT-ENC-HSP-004-008-01</x:v>
      </x:c>
      <x:c r="C225" s="54" t="str">
        <x:v>Q-SEVERITY</x:v>
      </x:c>
      <x:c r="D225" s="61" t="str">
        <x:v>How severe is it right now from 0 to 10?</x:v>
      </x:c>
      <x:c r="E225" s="54" t="str">
        <x:v>7</x:v>
      </x:c>
      <x:c r="F225" s="54" t="str">
        <x:v>REPORTED</x:v>
      </x:c>
      <x:c r="G225" s="64" t="n">
        <x:v>46267.42569444444</x:v>
      </x:c>
      <x:c r="H225" s="61" t="str">
        <x:v>Synthetic response</x:v>
      </x:c>
    </x:row>
    <x:row r="226" ht="36" customHeight="1">
      <x:c r="A226" s="54" t="str">
        <x:v>RESP-ENC-HSP-004-008-03</x:v>
      </x:c>
      <x:c r="B226" s="54" t="str">
        <x:v>INT-ENC-HSP-004-008-01</x:v>
      </x:c>
      <x:c r="C226" s="54" t="str">
        <x:v>Q-ASSOCIATED</x:v>
      </x:c>
      <x:c r="D226" s="61" t="str">
        <x:v>What other symptoms are present?</x:v>
      </x:c>
      <x:c r="E226" s="54" t="str">
        <x:v>Fever and fatigue</x:v>
      </x:c>
      <x:c r="F226" s="54" t="str">
        <x:v>REPORTED</x:v>
      </x:c>
      <x:c r="G226" s="64" t="n">
        <x:v>46267.42638888889</x:v>
      </x:c>
      <x:c r="H226" s="61" t="str">
        <x:v>Synthetic response</x:v>
      </x:c>
    </x:row>
    <x:row r="227" ht="36" customHeight="1">
      <x:c r="A227" s="54" t="str">
        <x:v>RESP-ENC-HSP-004-008-04</x:v>
      </x:c>
      <x:c r="B227" s="54" t="str">
        <x:v>INT-ENC-HSP-004-008-01</x:v>
      </x:c>
      <x:c r="C227" s="54" t="str">
        <x:v>Q-WORSENING</x:v>
      </x:c>
      <x:c r="D227" s="61" t="str">
        <x:v>Is the problem getting worse?</x:v>
      </x:c>
      <x:c r="E227" s="54" t="str">
        <x:v>No</x:v>
      </x:c>
      <x:c r="F227" s="54" t="str">
        <x:v>REPORTED</x:v>
      </x:c>
      <x:c r="G227" s="64" t="n">
        <x:v>46267.427083333336</x:v>
      </x:c>
      <x:c r="H227" s="61" t="str">
        <x:v>Synthetic response</x:v>
      </x:c>
    </x:row>
    <x:row r="228" ht="36" customHeight="1">
      <x:c r="A228" s="54" t="str">
        <x:v>RESP-ENC-HSP-004-008-05</x:v>
      </x:c>
      <x:c r="B228" s="54" t="str">
        <x:v>INT-ENC-HSP-004-008-01</x:v>
      </x:c>
      <x:c r="C228" s="54" t="str">
        <x:v>Q-MEDICATION</x:v>
      </x:c>
      <x:c r="D228" s="61" t="str">
        <x:v>Was any medicine taken for this problem?</x:v>
      </x:c>
      <x:c r="E228" s="54" t="str">
        <x:v>None reported</x:v>
      </x:c>
      <x:c r="F228" s="54" t="str">
        <x:v>REPORTED</x:v>
      </x:c>
      <x:c r="G228" s="64" t="n">
        <x:v>46267.427777777775</x:v>
      </x:c>
      <x:c r="H228" s="61" t="str">
        <x:v>Synthetic response</x:v>
      </x:c>
    </x:row>
    <x:row r="229" ht="36" customHeight="1">
      <x:c r="A229" s="54" t="str">
        <x:v>RESP-ENC-HSP-004-008-06</x:v>
      </x:c>
      <x:c r="B229" s="54" t="str">
        <x:v>INT-ENC-HSP-004-008-01</x:v>
      </x:c>
      <x:c r="C229" s="54" t="str">
        <x:v>Q-ALLERGY</x:v>
      </x:c>
      <x:c r="D229" s="61" t="str">
        <x:v>Are there any known medicine allergies?</x:v>
      </x:c>
      <x:c r="E229" s="54" t="str">
        <x:v>No known allergy reported</x:v>
      </x:c>
      <x:c r="F229" s="54" t="str">
        <x:v>REPORTED</x:v>
      </x:c>
      <x:c r="G229" s="64" t="n">
        <x:v>46267.42847222222</x:v>
      </x:c>
      <x:c r="H229" s="61" t="str">
        <x:v>Synthetic response</x:v>
      </x:c>
    </x:row>
    <x:row r="230" ht="36" customHeight="1">
      <x:c r="A230" s="54" t="str">
        <x:v>RESP-ENC-HSP-004-009-01</x:v>
      </x:c>
      <x:c r="B230" s="54" t="str">
        <x:v>INT-ENC-HSP-004-009-01</x:v>
      </x:c>
      <x:c r="C230" s="54" t="str">
        <x:v>Q-ONSET</x:v>
      </x:c>
      <x:c r="D230" s="61" t="str">
        <x:v>When did the current problem begin?</x:v>
      </x:c>
      <x:c r="E230" s="54" t="str">
        <x:v>Within the last 24 hours</x:v>
      </x:c>
      <x:c r="F230" s="54" t="str">
        <x:v>REPORTED</x:v>
      </x:c>
      <x:c r="G230" s="64" t="n">
        <x:v>46267.42986111111</x:v>
      </x:c>
      <x:c r="H230" s="61" t="str">
        <x:v>Synthetic response</x:v>
      </x:c>
    </x:row>
    <x:row r="231" ht="36" customHeight="1">
      <x:c r="A231" s="54" t="str">
        <x:v>RESP-ENC-HSP-004-009-02</x:v>
      </x:c>
      <x:c r="B231" s="54" t="str">
        <x:v>INT-ENC-HSP-004-009-01</x:v>
      </x:c>
      <x:c r="C231" s="54" t="str">
        <x:v>Q-SEVERITY</x:v>
      </x:c>
      <x:c r="D231" s="61" t="str">
        <x:v>How severe is it right now from 0 to 10?</x:v>
      </x:c>
      <x:c r="E231" s="54" t="str">
        <x:v>7</x:v>
      </x:c>
      <x:c r="F231" s="54" t="str">
        <x:v>REPORTED</x:v>
      </x:c>
      <x:c r="G231" s="64" t="n">
        <x:v>46267.430555555555</x:v>
      </x:c>
      <x:c r="H231" s="61" t="str">
        <x:v>Synthetic response</x:v>
      </x:c>
    </x:row>
    <x:row r="232" ht="36" customHeight="1">
      <x:c r="A232" s="54" t="str">
        <x:v>RESP-ENC-HSP-004-009-03</x:v>
      </x:c>
      <x:c r="B232" s="54" t="str">
        <x:v>INT-ENC-HSP-004-009-01</x:v>
      </x:c>
      <x:c r="C232" s="54" t="str">
        <x:v>Q-ASSOCIATED</x:v>
      </x:c>
      <x:c r="D232" s="61" t="str">
        <x:v>What other symptoms are present?</x:v>
      </x:c>
      <x:c r="E232" s="54" t="str">
        <x:v>No additional symptom volunteered</x:v>
      </x:c>
      <x:c r="F232" s="54" t="str">
        <x:v>REPORTED</x:v>
      </x:c>
      <x:c r="G232" s="64" t="n">
        <x:v>46267.43125</x:v>
      </x:c>
      <x:c r="H232" s="61" t="str">
        <x:v>Synthetic response</x:v>
      </x:c>
    </x:row>
    <x:row r="233" ht="36" customHeight="1">
      <x:c r="A233" s="54" t="str">
        <x:v>RESP-ENC-HSP-004-009-04</x:v>
      </x:c>
      <x:c r="B233" s="54" t="str">
        <x:v>INT-ENC-HSP-004-009-01</x:v>
      </x:c>
      <x:c r="C233" s="54" t="str">
        <x:v>Q-WORSENING</x:v>
      </x:c>
      <x:c r="D233" s="61" t="str">
        <x:v>Is the problem getting worse?</x:v>
      </x:c>
      <x:c r="E233" s="54" t="str">
        <x:v>No</x:v>
      </x:c>
      <x:c r="F233" s="54" t="str">
        <x:v>REPORTED</x:v>
      </x:c>
      <x:c r="G233" s="64" t="n">
        <x:v>46267.43194444444</x:v>
      </x:c>
      <x:c r="H233" s="61" t="str">
        <x:v>Synthetic response</x:v>
      </x:c>
    </x:row>
    <x:row r="234" ht="36" customHeight="1">
      <x:c r="A234" s="54" t="str">
        <x:v>RESP-ENC-HSP-004-009-05</x:v>
      </x:c>
      <x:c r="B234" s="54" t="str">
        <x:v>INT-ENC-HSP-004-009-01</x:v>
      </x:c>
      <x:c r="C234" s="54" t="str">
        <x:v>Q-MEDICATION</x:v>
      </x:c>
      <x:c r="D234" s="61" t="str">
        <x:v>Was any medicine taken for this problem?</x:v>
      </x:c>
      <x:c r="E234" s="54" t="str">
        <x:v>Unspecified over-the-counter medicine; verify</x:v>
      </x:c>
      <x:c r="F234" s="54" t="str">
        <x:v>REPORTED</x:v>
      </x:c>
      <x:c r="G234" s="64" t="n">
        <x:v>46267.43263888889</x:v>
      </x:c>
      <x:c r="H234" s="61" t="str">
        <x:v>Synthetic response</x:v>
      </x:c>
    </x:row>
    <x:row r="235" ht="36" customHeight="1">
      <x:c r="A235" s="54" t="str">
        <x:v>RESP-ENC-HSP-004-009-06</x:v>
      </x:c>
      <x:c r="B235" s="54" t="str">
        <x:v>INT-ENC-HSP-004-009-01</x:v>
      </x:c>
      <x:c r="C235" s="54" t="str">
        <x:v>Q-ALLERGY</x:v>
      </x:c>
      <x:c r="D235" s="61" t="str">
        <x:v>Are there any known medicine allergies?</x:v>
      </x:c>
      <x:c r="E235" s="54" t="str">
        <x:v>No known allergy reported</x:v>
      </x:c>
      <x:c r="F235" s="54" t="str">
        <x:v>REPORTED</x:v>
      </x:c>
      <x:c r="G235" s="64" t="n">
        <x:v>46267.433333333334</x:v>
      </x:c>
      <x:c r="H235" s="61" t="str">
        <x:v>Synthetic response</x:v>
      </x:c>
    </x:row>
    <x:row r="236" ht="36" customHeight="1">
      <x:c r="A236" s="54" t="str">
        <x:v>RESP-ENC-HSP-004-010-01</x:v>
      </x:c>
      <x:c r="B236" s="54" t="str">
        <x:v>INT-ENC-HSP-004-010-01</x:v>
      </x:c>
      <x:c r="C236" s="54" t="str">
        <x:v>Q-ONSET</x:v>
      </x:c>
      <x:c r="D236" s="61" t="str">
        <x:v>When did the current problem begin?</x:v>
      </x:c>
      <x:c r="E236" s="54" t="str">
        <x:v>Earlier today</x:v>
      </x:c>
      <x:c r="F236" s="54" t="str">
        <x:v>REPORTED</x:v>
      </x:c>
      <x:c r="G236" s="64" t="n">
        <x:v>46267.43472222222</x:v>
      </x:c>
      <x:c r="H236" s="61" t="str">
        <x:v>Synthetic response</x:v>
      </x:c>
    </x:row>
    <x:row r="237" ht="36" customHeight="1">
      <x:c r="A237" s="54" t="str">
        <x:v>RESP-ENC-HSP-004-010-02</x:v>
      </x:c>
      <x:c r="B237" s="54" t="str">
        <x:v>INT-ENC-HSP-004-010-01</x:v>
      </x:c>
      <x:c r="C237" s="54" t="str">
        <x:v>Q-SEVERITY</x:v>
      </x:c>
      <x:c r="D237" s="61" t="str">
        <x:v>How severe is it right now from 0 to 10?</x:v>
      </x:c>
      <x:c r="E237" s="54" t="str">
        <x:v>8</x:v>
      </x:c>
      <x:c r="F237" s="54" t="str">
        <x:v>REPORTED</x:v>
      </x:c>
      <x:c r="G237" s="64" t="n">
        <x:v>46267.43541666667</x:v>
      </x:c>
      <x:c r="H237" s="61" t="str">
        <x:v>Synthetic response</x:v>
      </x:c>
    </x:row>
    <x:row r="238" ht="36" customHeight="1">
      <x:c r="A238" s="54" t="str">
        <x:v>RESP-ENC-HSP-004-010-03</x:v>
      </x:c>
      <x:c r="B238" s="54" t="str">
        <x:v>INT-ENC-HSP-004-010-01</x:v>
      </x:c>
      <x:c r="C238" s="54" t="str">
        <x:v>Q-ASSOCIATED</x:v>
      </x:c>
      <x:c r="D238" s="61" t="str">
        <x:v>What other symptoms are present?</x:v>
      </x:c>
      <x:c r="E238" s="54" t="str">
        <x:v>No additional symptom volunteered</x:v>
      </x:c>
      <x:c r="F238" s="54" t="str">
        <x:v>REPORTED</x:v>
      </x:c>
      <x:c r="G238" s="64" t="n">
        <x:v>46267.436111111114</x:v>
      </x:c>
      <x:c r="H238" s="61" t="str">
        <x:v>Synthetic response</x:v>
      </x:c>
    </x:row>
    <x:row r="239" ht="36" customHeight="1">
      <x:c r="A239" s="54" t="str">
        <x:v>RESP-ENC-HSP-004-010-04</x:v>
      </x:c>
      <x:c r="B239" s="54" t="str">
        <x:v>INT-ENC-HSP-004-010-01</x:v>
      </x:c>
      <x:c r="C239" s="54" t="str">
        <x:v>Q-WORSENING</x:v>
      </x:c>
      <x:c r="D239" s="61" t="str">
        <x:v>Is the problem getting worse?</x:v>
      </x:c>
      <x:c r="E239" s="54" t="str">
        <x:v>Yes</x:v>
      </x:c>
      <x:c r="F239" s="54" t="str">
        <x:v>REPORTED</x:v>
      </x:c>
      <x:c r="G239" s="64" t="n">
        <x:v>46267.43680555555</x:v>
      </x:c>
      <x:c r="H239" s="61" t="str">
        <x:v>Synthetic response</x:v>
      </x:c>
    </x:row>
    <x:row r="240" ht="36" customHeight="1">
      <x:c r="A240" s="54" t="str">
        <x:v>RESP-ENC-HSP-004-010-05</x:v>
      </x:c>
      <x:c r="B240" s="54" t="str">
        <x:v>INT-ENC-HSP-004-010-01</x:v>
      </x:c>
      <x:c r="C240" s="54" t="str">
        <x:v>Q-MEDICATION</x:v>
      </x:c>
      <x:c r="D240" s="61" t="str">
        <x:v>Was any medicine taken for this problem?</x:v>
      </x:c>
      <x:c r="E240" s="54" t="str">
        <x:v>None reported</x:v>
      </x:c>
      <x:c r="F240" s="54" t="str">
        <x:v>REPORTED</x:v>
      </x:c>
      <x:c r="G240" s="64" t="n">
        <x:v>46267.4375</x:v>
      </x:c>
      <x:c r="H240" s="61" t="str">
        <x:v>Synthetic response</x:v>
      </x:c>
    </x:row>
    <x:row r="241" ht="36" customHeight="1">
      <x:c r="A241" s="56" t="str">
        <x:v>RESP-ENC-HSP-004-010-06</x:v>
      </x:c>
      <x:c r="B241" s="56" t="str">
        <x:v>INT-ENC-HSP-004-010-01</x:v>
      </x:c>
      <x:c r="C241" s="56" t="str">
        <x:v>Q-ALLERGY</x:v>
      </x:c>
      <x:c r="D241" s="62" t="str">
        <x:v>Are there any known medicine allergies?</x:v>
      </x:c>
      <x:c r="E241" s="56" t="str">
        <x:v>No known allergy reported</x:v>
      </x:c>
      <x:c r="F241" s="56" t="str">
        <x:v>REPORTED</x:v>
      </x:c>
      <x:c r="G241" s="65" t="n">
        <x:v>46267.43819444445</x:v>
      </x:c>
      <x:c r="H241" s="62" t="str">
        <x:v>Synthetic response</x:v>
      </x:c>
    </x:row>
  </x:sheetData>
  <x:pageMargins left="0.7" right="0.7" top="0.75" bottom="0.75" header="0.3" footer="0.3"/>
  <x:tableParts count="1">
    <x:tablePart xmlns:r="http://schemas.openxmlformats.org/officeDocument/2006/relationships" r:id="R17dbe6a4b9ee40a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6" hidden="0" customWidth="1"/>
    <x:col min="4" max="4" width="16" hidden="0" customWidth="1"/>
    <x:col min="5" max="5" width="17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9" hidden="0" customWidth="1"/>
    <x:col min="12" max="12" width="20" hidden="0" customWidth="1"/>
    <x:col min="13" max="13" width="16" hidden="0" customWidth="1"/>
    <x:col min="14" max="14" width="18" hidden="0" customWidth="1"/>
  </x:cols>
  <x:sheetData>
    <x:row r="1" ht="34" customHeight="1">
      <x:c r="A1" s="53" t="str">
        <x:v>triage_assessment_id</x:v>
      </x:c>
      <x:c r="B1" s="53" t="str">
        <x:v>encounter_id</x:v>
      </x:c>
      <x:c r="C1" s="53" t="str">
        <x:v>assessment_version</x:v>
      </x:c>
      <x:c r="D1" s="63" t="str">
        <x:v>assessed_at</x:v>
      </x:c>
      <x:c r="E1" s="53" t="str">
        <x:v>recommended_esi_level</x:v>
      </x:c>
      <x:c r="F1" s="53" t="str">
        <x:v>score_source</x:v>
      </x:c>
      <x:c r="G1" s="53" t="str">
        <x:v>clinician_confirmation_status</x:v>
      </x:c>
      <x:c r="H1" s="63" t="str">
        <x:v>confirmation_due_at</x:v>
      </x:c>
      <x:c r="I1" s="53" t="str">
        <x:v>engine_version</x:v>
      </x:c>
      <x:c r="J1" s="53" t="str">
        <x:v>config_version</x:v>
      </x:c>
      <x:c r="K1" s="53" t="str">
        <x:v>mandatory_safety_workup</x:v>
      </x:c>
      <x:c r="L1" s="53" t="str">
        <x:v>maximum_allowed_esi_level</x:v>
      </x:c>
      <x:c r="M1" s="53" t="str">
        <x:v>input_quality</x:v>
      </x:c>
      <x:c r="N1" s="53" t="str">
        <x:v>is_synthetic</x:v>
      </x:c>
    </x:row>
    <x:row r="2" ht="28" customHeight="1">
      <x:c r="A2" s="54" t="str">
        <x:v>TRI-ENC-HSP-001-001-01</x:v>
      </x:c>
      <x:c r="B2" s="54" t="str">
        <x:v>ENC-HSP-001-001</x:v>
      </x:c>
      <x:c r="C2" s="54" t="n">
        <x:v>1</x:v>
      </x:c>
      <x:c r="D2" s="64" t="n">
        <x:v>46267.347916666666</x:v>
      </x:c>
      <x:c r="E2" s="54" t="n">
        <x:v>1</x:v>
      </x:c>
      <x:c r="F2" s="54" t="str">
        <x:v>RULE_ENGINE</x:v>
      </x:c>
      <x:c r="G2" s="54" t="str">
        <x:v>CONFIRMED</x:v>
      </x:c>
      <x:c r="H2" s="64" t="n">
        <x:v>46267.35902777778</x:v>
      </x:c>
      <x:c r="I2" s="54" t="str">
        <x:v>demo-triage-rules-1.0.0</x:v>
      </x:c>
      <x:c r="J2" s="54" t="str">
        <x:v>hospital-config-1</x:v>
      </x:c>
      <x:c r="K2" s="55" t="b">
        <x:v>1</x:v>
      </x:c>
      <x:c r="L2" s="54" t="n">
        <x:v>1</x:v>
      </x:c>
      <x:c r="M2" s="54" t="str">
        <x:v>COMPLETE</x:v>
      </x:c>
      <x:c r="N2" s="55" t="b">
        <x:v>1</x:v>
      </x:c>
    </x:row>
    <x:row r="3" ht="28" customHeight="1">
      <x:c r="A3" s="54" t="str">
        <x:v>TRI-ENC-HSP-001-002-01</x:v>
      </x:c>
      <x:c r="B3" s="54" t="str">
        <x:v>ENC-HSP-001-002</x:v>
      </x:c>
      <x:c r="C3" s="54" t="n">
        <x:v>1</x:v>
      </x:c>
      <x:c r="D3" s="64" t="n">
        <x:v>46267.35277777778</x:v>
      </x:c>
      <x:c r="E3" s="54" t="n">
        <x:v>1</x:v>
      </x:c>
      <x:c r="F3" s="54" t="str">
        <x:v>RULE_ENGINE</x:v>
      </x:c>
      <x:c r="G3" s="54" t="str">
        <x:v>CONFIRMED</x:v>
      </x:c>
      <x:c r="H3" s="64" t="n">
        <x:v>46267.36388888889</x:v>
      </x:c>
      <x:c r="I3" s="54" t="str">
        <x:v>demo-triage-rules-1.0.0</x:v>
      </x:c>
      <x:c r="J3" s="54" t="str">
        <x:v>hospital-config-1</x:v>
      </x:c>
      <x:c r="K3" s="55" t="b">
        <x:v>1</x:v>
      </x:c>
      <x:c r="L3" s="54" t="n">
        <x:v>1</x:v>
      </x:c>
      <x:c r="M3" s="54" t="str">
        <x:v>COMPLETE</x:v>
      </x:c>
      <x:c r="N3" s="55" t="b">
        <x:v>1</x:v>
      </x:c>
    </x:row>
    <x:row r="4" ht="28" customHeight="1">
      <x:c r="A4" s="54" t="str">
        <x:v>TRI-ENC-HSP-001-003-01</x:v>
      </x:c>
      <x:c r="B4" s="54" t="str">
        <x:v>ENC-HSP-001-003</x:v>
      </x:c>
      <x:c r="C4" s="54" t="n">
        <x:v>1</x:v>
      </x:c>
      <x:c r="D4" s="64" t="n">
        <x:v>46267.35763888889</x:v>
      </x:c>
      <x:c r="E4" s="54" t="n">
        <x:v>1</x:v>
      </x:c>
      <x:c r="F4" s="54" t="str">
        <x:v>RULE_ENGINE</x:v>
      </x:c>
      <x:c r="G4" s="54" t="str">
        <x:v>CONFIRMED</x:v>
      </x:c>
      <x:c r="H4" s="64" t="n">
        <x:v>46267.36875</x:v>
      </x:c>
      <x:c r="I4" s="54" t="str">
        <x:v>demo-triage-rules-1.0.0</x:v>
      </x:c>
      <x:c r="J4" s="54" t="str">
        <x:v>hospital-config-1</x:v>
      </x:c>
      <x:c r="K4" s="55" t="b">
        <x:v>1</x:v>
      </x:c>
      <x:c r="L4" s="54" t="n">
        <x:v>1</x:v>
      </x:c>
      <x:c r="M4" s="54" t="str">
        <x:v>COMPLETE</x:v>
      </x:c>
      <x:c r="N4" s="55" t="b">
        <x:v>1</x:v>
      </x:c>
    </x:row>
    <x:row r="5" ht="28" customHeight="1">
      <x:c r="A5" s="54" t="str">
        <x:v>TRI-ENC-HSP-001-004-01</x:v>
      </x:c>
      <x:c r="B5" s="54" t="str">
        <x:v>ENC-HSP-001-004</x:v>
      </x:c>
      <x:c r="C5" s="54" t="n">
        <x:v>1</x:v>
      </x:c>
      <x:c r="D5" s="64" t="n">
        <x:v>46267.40416666667</x:v>
      </x:c>
      <x:c r="E5" s="54" t="n">
        <x:v>1</x:v>
      </x:c>
      <x:c r="F5" s="54" t="str">
        <x:v>RULE_ENGINE</x:v>
      </x:c>
      <x:c r="G5" s="54" t="str">
        <x:v>CONFIRMED</x:v>
      </x:c>
      <x:c r="H5" s="64" t="n">
        <x:v>46267.41527777778</x:v>
      </x:c>
      <x:c r="I5" s="54" t="str">
        <x:v>demo-triage-rules-1.0.0</x:v>
      </x:c>
      <x:c r="J5" s="54" t="str">
        <x:v>hospital-config-1</x:v>
      </x:c>
      <x:c r="K5" s="55" t="b">
        <x:v>1</x:v>
      </x:c>
      <x:c r="L5" s="54" t="n">
        <x:v>1</x:v>
      </x:c>
      <x:c r="M5" s="54" t="str">
        <x:v>COMPLETE</x:v>
      </x:c>
      <x:c r="N5" s="55" t="b">
        <x:v>1</x:v>
      </x:c>
    </x:row>
    <x:row r="6" ht="28" customHeight="1">
      <x:c r="A6" s="54" t="str">
        <x:v>TRI-ENC-HSP-001-005-01</x:v>
      </x:c>
      <x:c r="B6" s="54" t="str">
        <x:v>ENC-HSP-001-005</x:v>
      </x:c>
      <x:c r="C6" s="54" t="n">
        <x:v>1</x:v>
      </x:c>
      <x:c r="D6" s="64" t="n">
        <x:v>46267.40902777778</x:v>
      </x:c>
      <x:c r="E6" s="54" t="n">
        <x:v>2</x:v>
      </x:c>
      <x:c r="F6" s="54" t="str">
        <x:v>RULE_ENGINE</x:v>
      </x:c>
      <x:c r="G6" s="54" t="str">
        <x:v>CONFIRMED</x:v>
      </x:c>
      <x:c r="H6" s="64" t="n">
        <x:v>46267.42013888889</x:v>
      </x:c>
      <x:c r="I6" s="54" t="str">
        <x:v>demo-triage-rules-1.0.0</x:v>
      </x:c>
      <x:c r="J6" s="54" t="str">
        <x:v>hospital-config-1</x:v>
      </x:c>
      <x:c r="K6" s="55" t="b">
        <x:v>1</x:v>
      </x:c>
      <x:c r="L6" s="54" t="n">
        <x:v>2</x:v>
      </x:c>
      <x:c r="M6" s="54" t="str">
        <x:v>COMPLETE</x:v>
      </x:c>
      <x:c r="N6" s="55" t="b">
        <x:v>1</x:v>
      </x:c>
    </x:row>
    <x:row r="7" ht="28" customHeight="1">
      <x:c r="A7" s="54" t="str">
        <x:v>TRI-ENC-HSP-001-006-01</x:v>
      </x:c>
      <x:c r="B7" s="54" t="str">
        <x:v>ENC-HSP-001-006</x:v>
      </x:c>
      <x:c r="C7" s="54" t="n">
        <x:v>1</x:v>
      </x:c>
      <x:c r="D7" s="64" t="n">
        <x:v>46267.41388888889</x:v>
      </x:c>
      <x:c r="E7" s="54" t="n">
        <x:v>2</x:v>
      </x:c>
      <x:c r="F7" s="54" t="str">
        <x:v>RULE_ENGINE</x:v>
      </x:c>
      <x:c r="G7" s="54" t="str">
        <x:v>CONFIRMED</x:v>
      </x:c>
      <x:c r="H7" s="64" t="n">
        <x:v>46267.425</x:v>
      </x:c>
      <x:c r="I7" s="54" t="str">
        <x:v>demo-triage-rules-1.0.0</x:v>
      </x:c>
      <x:c r="J7" s="54" t="str">
        <x:v>hospital-config-1</x:v>
      </x:c>
      <x:c r="K7" s="55" t="b">
        <x:v>1</x:v>
      </x:c>
      <x:c r="L7" s="54" t="n">
        <x:v>2</x:v>
      </x:c>
      <x:c r="M7" s="54" t="str">
        <x:v>COMPLETE</x:v>
      </x:c>
      <x:c r="N7" s="55" t="b">
        <x:v>1</x:v>
      </x:c>
    </x:row>
    <x:row r="8" ht="28" customHeight="1">
      <x:c r="A8" s="54" t="str">
        <x:v>TRI-ENC-HSP-001-007-01</x:v>
      </x:c>
      <x:c r="B8" s="54" t="str">
        <x:v>ENC-HSP-001-007</x:v>
      </x:c>
      <x:c r="C8" s="54" t="n">
        <x:v>1</x:v>
      </x:c>
      <x:c r="D8" s="64" t="n">
        <x:v>46267.41875</x:v>
      </x:c>
      <x:c r="E8" s="54" t="n">
        <x:v>2</x:v>
      </x:c>
      <x:c r="F8" s="54" t="str">
        <x:v>RULE_ENGINE</x:v>
      </x:c>
      <x:c r="G8" s="54" t="str">
        <x:v>CONFIRMED</x:v>
      </x:c>
      <x:c r="H8" s="64" t="n">
        <x:v>46267.42986111111</x:v>
      </x:c>
      <x:c r="I8" s="54" t="str">
        <x:v>demo-triage-rules-1.0.0</x:v>
      </x:c>
      <x:c r="J8" s="54" t="str">
        <x:v>hospital-config-1</x:v>
      </x:c>
      <x:c r="K8" s="55" t="b">
        <x:v>1</x:v>
      </x:c>
      <x:c r="L8" s="54" t="n">
        <x:v>2</x:v>
      </x:c>
      <x:c r="M8" s="54" t="str">
        <x:v>COMPLETE</x:v>
      </x:c>
      <x:c r="N8" s="55" t="b">
        <x:v>1</x:v>
      </x:c>
    </x:row>
    <x:row r="9" ht="28" customHeight="1">
      <x:c r="A9" s="54" t="str">
        <x:v>TRI-ENC-HSP-001-008-01</x:v>
      </x:c>
      <x:c r="B9" s="54" t="str">
        <x:v>ENC-HSP-001-008</x:v>
      </x:c>
      <x:c r="C9" s="54" t="n">
        <x:v>1</x:v>
      </x:c>
      <x:c r="D9" s="64" t="n">
        <x:v>46267.46527777778</x:v>
      </x:c>
      <x:c r="E9" s="54" t="n">
        <x:v>2</x:v>
      </x:c>
      <x:c r="F9" s="54" t="str">
        <x:v>RULE_ENGINE</x:v>
      </x:c>
      <x:c r="G9" s="54" t="str">
        <x:v>PENDING</x:v>
      </x:c>
      <x:c r="H9" s="64" t="n">
        <x:v>46267.47638888889</x:v>
      </x:c>
      <x:c r="I9" s="54" t="str">
        <x:v>demo-triage-rules-1.0.0</x:v>
      </x:c>
      <x:c r="J9" s="54" t="str">
        <x:v>hospital-config-1</x:v>
      </x:c>
      <x:c r="K9" s="55" t="b">
        <x:v>1</x:v>
      </x:c>
      <x:c r="L9" s="54" t="n">
        <x:v>2</x:v>
      </x:c>
      <x:c r="M9" s="54" t="str">
        <x:v>COMPLETE</x:v>
      </x:c>
      <x:c r="N9" s="55" t="b">
        <x:v>1</x:v>
      </x:c>
    </x:row>
    <x:row r="10" ht="28" customHeight="1">
      <x:c r="A10" s="54" t="str">
        <x:v>TRI-ENC-HSP-001-009-01</x:v>
      </x:c>
      <x:c r="B10" s="54" t="str">
        <x:v>ENC-HSP-001-009</x:v>
      </x:c>
      <x:c r="C10" s="54" t="n">
        <x:v>1</x:v>
      </x:c>
      <x:c r="D10" s="64" t="n">
        <x:v>46267.42847222222</x:v>
      </x:c>
      <x:c r="E10" s="54" t="n">
        <x:v>2</x:v>
      </x:c>
      <x:c r="F10" s="54" t="str">
        <x:v>RULE_ENGINE</x:v>
      </x:c>
      <x:c r="G10" s="54" t="str">
        <x:v>PENDING</x:v>
      </x:c>
      <x:c r="H10" s="64" t="n">
        <x:v>46267.43958333333</x:v>
      </x:c>
      <x:c r="I10" s="54" t="str">
        <x:v>demo-triage-rules-1.0.0</x:v>
      </x:c>
      <x:c r="J10" s="54" t="str">
        <x:v>hospital-config-1</x:v>
      </x:c>
      <x:c r="K10" s="55" t="b">
        <x:v>1</x:v>
      </x:c>
      <x:c r="L10" s="54" t="n">
        <x:v>2</x:v>
      </x:c>
      <x:c r="M10" s="54" t="str">
        <x:v>COMPLETE</x:v>
      </x:c>
      <x:c r="N10" s="55" t="b">
        <x:v>1</x:v>
      </x:c>
    </x:row>
    <x:row r="11" ht="28" customHeight="1">
      <x:c r="A11" s="54" t="str">
        <x:v>TRI-ENC-HSP-001-010-01</x:v>
      </x:c>
      <x:c r="B11" s="54" t="str">
        <x:v>ENC-HSP-001-010</x:v>
      </x:c>
      <x:c r="C11" s="54" t="n">
        <x:v>1</x:v>
      </x:c>
      <x:c r="D11" s="64" t="n">
        <x:v>46267.433333333334</x:v>
      </x:c>
      <x:c r="E11" s="54" t="n">
        <x:v>2</x:v>
      </x:c>
      <x:c r="F11" s="54" t="str">
        <x:v>RULE_ENGINE</x:v>
      </x:c>
      <x:c r="G11" s="54" t="str">
        <x:v>PENDING</x:v>
      </x:c>
      <x:c r="H11" s="64" t="n">
        <x:v>46267.444444444445</x:v>
      </x:c>
      <x:c r="I11" s="54" t="str">
        <x:v>demo-triage-rules-1.0.0</x:v>
      </x:c>
      <x:c r="J11" s="54" t="str">
        <x:v>hospital-config-1</x:v>
      </x:c>
      <x:c r="K11" s="55" t="b">
        <x:v>1</x:v>
      </x:c>
      <x:c r="L11" s="54" t="n">
        <x:v>2</x:v>
      </x:c>
      <x:c r="M11" s="54" t="str">
        <x:v>COMPLETE</x:v>
      </x:c>
      <x:c r="N11" s="55" t="b">
        <x:v>1</x:v>
      </x:c>
    </x:row>
    <x:row r="12" ht="28" customHeight="1">
      <x:c r="A12" s="54" t="str">
        <x:v>TRI-ENC-HSP-002-001-01</x:v>
      </x:c>
      <x:c r="B12" s="54" t="str">
        <x:v>ENC-HSP-002-001</x:v>
      </x:c>
      <x:c r="C12" s="54" t="n">
        <x:v>1</x:v>
      </x:c>
      <x:c r="D12" s="64" t="n">
        <x:v>46267.35</x:v>
      </x:c>
      <x:c r="E12" s="54" t="n">
        <x:v>2</x:v>
      </x:c>
      <x:c r="F12" s="54" t="str">
        <x:v>RULE_ENGINE</x:v>
      </x:c>
      <x:c r="G12" s="54" t="str">
        <x:v>CONFIRMED</x:v>
      </x:c>
      <x:c r="H12" s="64" t="n">
        <x:v>46267.36111111111</x:v>
      </x:c>
      <x:c r="I12" s="54" t="str">
        <x:v>demo-triage-rules-1.0.0</x:v>
      </x:c>
      <x:c r="J12" s="54" t="str">
        <x:v>hospital-config-1</x:v>
      </x:c>
      <x:c r="K12" s="55" t="b">
        <x:v>1</x:v>
      </x:c>
      <x:c r="L12" s="54" t="n">
        <x:v>2</x:v>
      </x:c>
      <x:c r="M12" s="54" t="str">
        <x:v>COMPLETE</x:v>
      </x:c>
      <x:c r="N12" s="55" t="b">
        <x:v>1</x:v>
      </x:c>
    </x:row>
    <x:row r="13" ht="28" customHeight="1">
      <x:c r="A13" s="54" t="str">
        <x:v>TRI-ENC-HSP-002-002-01</x:v>
      </x:c>
      <x:c r="B13" s="54" t="str">
        <x:v>ENC-HSP-002-002</x:v>
      </x:c>
      <x:c r="C13" s="54" t="n">
        <x:v>1</x:v>
      </x:c>
      <x:c r="D13" s="64" t="n">
        <x:v>46267.35486111111</x:v>
      </x:c>
      <x:c r="E13" s="54" t="n">
        <x:v>2</x:v>
      </x:c>
      <x:c r="F13" s="54" t="str">
        <x:v>RULE_ENGINE</x:v>
      </x:c>
      <x:c r="G13" s="54" t="str">
        <x:v>CONFIRMED</x:v>
      </x:c>
      <x:c r="H13" s="64" t="n">
        <x:v>46267.36597222222</x:v>
      </x:c>
      <x:c r="I13" s="54" t="str">
        <x:v>demo-triage-rules-1.0.0</x:v>
      </x:c>
      <x:c r="J13" s="54" t="str">
        <x:v>hospital-config-1</x:v>
      </x:c>
      <x:c r="K13" s="55" t="b">
        <x:v>1</x:v>
      </x:c>
      <x:c r="L13" s="54" t="n">
        <x:v>2</x:v>
      </x:c>
      <x:c r="M13" s="54" t="str">
        <x:v>COMPLETE</x:v>
      </x:c>
      <x:c r="N13" s="55" t="b">
        <x:v>1</x:v>
      </x:c>
    </x:row>
    <x:row r="14" ht="28" customHeight="1">
      <x:c r="A14" s="54" t="str">
        <x:v>TRI-ENC-HSP-002-003-01</x:v>
      </x:c>
      <x:c r="B14" s="54" t="str">
        <x:v>ENC-HSP-002-003</x:v>
      </x:c>
      <x:c r="C14" s="54" t="n">
        <x:v>1</x:v>
      </x:c>
      <x:c r="D14" s="64" t="n">
        <x:v>46267.35972222222</x:v>
      </x:c>
      <x:c r="E14" s="54" t="n">
        <x:v>2</x:v>
      </x:c>
      <x:c r="F14" s="54" t="str">
        <x:v>RULE_ENGINE</x:v>
      </x:c>
      <x:c r="G14" s="54" t="str">
        <x:v>CONFIRMED</x:v>
      </x:c>
      <x:c r="H14" s="64" t="n">
        <x:v>46267.370833333334</x:v>
      </x:c>
      <x:c r="I14" s="54" t="str">
        <x:v>demo-triage-rules-1.0.0</x:v>
      </x:c>
      <x:c r="J14" s="54" t="str">
        <x:v>hospital-config-1</x:v>
      </x:c>
      <x:c r="K14" s="55" t="b">
        <x:v>1</x:v>
      </x:c>
      <x:c r="L14" s="54" t="n">
        <x:v>2</x:v>
      </x:c>
      <x:c r="M14" s="54" t="str">
        <x:v>COMPLETE</x:v>
      </x:c>
      <x:c r="N14" s="55" t="b">
        <x:v>1</x:v>
      </x:c>
    </x:row>
    <x:row r="15" ht="28" customHeight="1">
      <x:c r="A15" s="54" t="str">
        <x:v>TRI-ENC-HSP-002-004-01</x:v>
      </x:c>
      <x:c r="B15" s="54" t="str">
        <x:v>ENC-HSP-002-004</x:v>
      </x:c>
      <x:c r="C15" s="54" t="n">
        <x:v>1</x:v>
      </x:c>
      <x:c r="D15" s="64" t="n">
        <x:v>46267.40625</x:v>
      </x:c>
      <x:c r="E15" s="54" t="n">
        <x:v>2</x:v>
      </x:c>
      <x:c r="F15" s="54" t="str">
        <x:v>RULE_ENGINE</x:v>
      </x:c>
      <x:c r="G15" s="54" t="str">
        <x:v>CONFIRMED</x:v>
      </x:c>
      <x:c r="H15" s="64" t="n">
        <x:v>46267.41736111111</x:v>
      </x:c>
      <x:c r="I15" s="54" t="str">
        <x:v>demo-triage-rules-1.0.0</x:v>
      </x:c>
      <x:c r="J15" s="54" t="str">
        <x:v>hospital-config-1</x:v>
      </x:c>
      <x:c r="K15" s="55" t="b">
        <x:v>1</x:v>
      </x:c>
      <x:c r="L15" s="54" t="n">
        <x:v>2</x:v>
      </x:c>
      <x:c r="M15" s="54" t="str">
        <x:v>COMPLETE</x:v>
      </x:c>
      <x:c r="N15" s="55" t="b">
        <x:v>1</x:v>
      </x:c>
    </x:row>
    <x:row r="16" ht="28" customHeight="1">
      <x:c r="A16" s="54" t="str">
        <x:v>TRI-ENC-HSP-002-005-01</x:v>
      </x:c>
      <x:c r="B16" s="54" t="str">
        <x:v>ENC-HSP-002-005</x:v>
      </x:c>
      <x:c r="C16" s="54" t="n">
        <x:v>1</x:v>
      </x:c>
      <x:c r="D16" s="64" t="n">
        <x:v>46267.41111111111</x:v>
      </x:c>
      <x:c r="E16" s="54" t="n">
        <x:v>3</x:v>
      </x:c>
      <x:c r="F16" s="54" t="str">
        <x:v>RULE_ENGINE</x:v>
      </x:c>
      <x:c r="G16" s="54" t="str">
        <x:v>CONFIRMED</x:v>
      </x:c>
      <x:c r="H16" s="64" t="n">
        <x:v>46267.42222222222</x:v>
      </x:c>
      <x:c r="I16" s="54" t="str">
        <x:v>demo-triage-rules-1.0.0</x:v>
      </x:c>
      <x:c r="J16" s="54" t="str">
        <x:v>hospital-config-1</x:v>
      </x:c>
      <x:c r="K16" s="55" t="b">
        <x:v>0</x:v>
      </x:c>
      <x:c r="L16" s="54" t="n">
        <x:v>3</x:v>
      </x:c>
      <x:c r="M16" s="54" t="str">
        <x:v>COMPLETE</x:v>
      </x:c>
      <x:c r="N16" s="55" t="b">
        <x:v>1</x:v>
      </x:c>
    </x:row>
    <x:row r="17" ht="28" customHeight="1">
      <x:c r="A17" s="54" t="str">
        <x:v>TRI-ENC-HSP-002-006-01</x:v>
      </x:c>
      <x:c r="B17" s="54" t="str">
        <x:v>ENC-HSP-002-006</x:v>
      </x:c>
      <x:c r="C17" s="54" t="n">
        <x:v>1</x:v>
      </x:c>
      <x:c r="D17" s="64" t="n">
        <x:v>46267.415972222225</x:v>
      </x:c>
      <x:c r="E17" s="54" t="n">
        <x:v>3</x:v>
      </x:c>
      <x:c r="F17" s="54" t="str">
        <x:v>RULE_ENGINE</x:v>
      </x:c>
      <x:c r="G17" s="54" t="str">
        <x:v>CONFIRMED</x:v>
      </x:c>
      <x:c r="H17" s="64" t="n">
        <x:v>46267.427083333336</x:v>
      </x:c>
      <x:c r="I17" s="54" t="str">
        <x:v>demo-triage-rules-1.0.0</x:v>
      </x:c>
      <x:c r="J17" s="54" t="str">
        <x:v>hospital-config-1</x:v>
      </x:c>
      <x:c r="K17" s="55" t="b">
        <x:v>0</x:v>
      </x:c>
      <x:c r="L17" s="54" t="n">
        <x:v>3</x:v>
      </x:c>
      <x:c r="M17" s="54" t="str">
        <x:v>COMPLETE</x:v>
      </x:c>
      <x:c r="N17" s="55" t="b">
        <x:v>1</x:v>
      </x:c>
    </x:row>
    <x:row r="18" ht="28" customHeight="1">
      <x:c r="A18" s="54" t="str">
        <x:v>TRI-ENC-HSP-002-007-01</x:v>
      </x:c>
      <x:c r="B18" s="54" t="str">
        <x:v>ENC-HSP-002-007</x:v>
      </x:c>
      <x:c r="C18" s="54" t="n">
        <x:v>1</x:v>
      </x:c>
      <x:c r="D18" s="64" t="n">
        <x:v>46267.42083333333</x:v>
      </x:c>
      <x:c r="E18" s="54" t="n">
        <x:v>3</x:v>
      </x:c>
      <x:c r="F18" s="54" t="str">
        <x:v>RULE_ENGINE</x:v>
      </x:c>
      <x:c r="G18" s="54" t="str">
        <x:v>CONFIRMED</x:v>
      </x:c>
      <x:c r="H18" s="64" t="n">
        <x:v>46267.43194444444</x:v>
      </x:c>
      <x:c r="I18" s="54" t="str">
        <x:v>demo-triage-rules-1.0.0</x:v>
      </x:c>
      <x:c r="J18" s="54" t="str">
        <x:v>hospital-config-1</x:v>
      </x:c>
      <x:c r="K18" s="55" t="b">
        <x:v>0</x:v>
      </x:c>
      <x:c r="L18" s="54" t="n">
        <x:v>3</x:v>
      </x:c>
      <x:c r="M18" s="54" t="str">
        <x:v>COMPLETE</x:v>
      </x:c>
      <x:c r="N18" s="55" t="b">
        <x:v>1</x:v>
      </x:c>
    </x:row>
    <x:row r="19" ht="28" customHeight="1">
      <x:c r="A19" s="54" t="str">
        <x:v>TRI-ENC-HSP-002-008-01</x:v>
      </x:c>
      <x:c r="B19" s="54" t="str">
        <x:v>ENC-HSP-002-008</x:v>
      </x:c>
      <x:c r="C19" s="54" t="n">
        <x:v>1</x:v>
      </x:c>
      <x:c r="D19" s="64" t="n">
        <x:v>46267.467361111114</x:v>
      </x:c>
      <x:c r="E19" s="54" t="n">
        <x:v>3</x:v>
      </x:c>
      <x:c r="F19" s="54" t="str">
        <x:v>RULE_ENGINE</x:v>
      </x:c>
      <x:c r="G19" s="54" t="str">
        <x:v>PENDING</x:v>
      </x:c>
      <x:c r="H19" s="64" t="n">
        <x:v>46267.478472222225</x:v>
      </x:c>
      <x:c r="I19" s="54" t="str">
        <x:v>demo-triage-rules-1.0.0</x:v>
      </x:c>
      <x:c r="J19" s="54" t="str">
        <x:v>hospital-config-1</x:v>
      </x:c>
      <x:c r="K19" s="55" t="b">
        <x:v>0</x:v>
      </x:c>
      <x:c r="L19" s="54" t="n">
        <x:v>3</x:v>
      </x:c>
      <x:c r="M19" s="54" t="str">
        <x:v>COMPLETE</x:v>
      </x:c>
      <x:c r="N19" s="55" t="b">
        <x:v>1</x:v>
      </x:c>
    </x:row>
    <x:row r="20" ht="28" customHeight="1">
      <x:c r="A20" s="54" t="str">
        <x:v>TRI-ENC-HSP-002-009-01</x:v>
      </x:c>
      <x:c r="B20" s="54" t="str">
        <x:v>ENC-HSP-002-009</x:v>
      </x:c>
      <x:c r="C20" s="54" t="n">
        <x:v>1</x:v>
      </x:c>
      <x:c r="D20" s="64" t="n">
        <x:v>46267.430555555555</x:v>
      </x:c>
      <x:c r="E20" s="54" t="n">
        <x:v>3</x:v>
      </x:c>
      <x:c r="F20" s="54" t="str">
        <x:v>RULE_ENGINE</x:v>
      </x:c>
      <x:c r="G20" s="54" t="str">
        <x:v>PENDING</x:v>
      </x:c>
      <x:c r="H20" s="64" t="n">
        <x:v>46267.441666666666</x:v>
      </x:c>
      <x:c r="I20" s="54" t="str">
        <x:v>demo-triage-rules-1.0.0</x:v>
      </x:c>
      <x:c r="J20" s="54" t="str">
        <x:v>hospital-config-1</x:v>
      </x:c>
      <x:c r="K20" s="55" t="b">
        <x:v>0</x:v>
      </x:c>
      <x:c r="L20" s="54" t="n">
        <x:v>3</x:v>
      </x:c>
      <x:c r="M20" s="54" t="str">
        <x:v>COMPLETE</x:v>
      </x:c>
      <x:c r="N20" s="55" t="b">
        <x:v>1</x:v>
      </x:c>
    </x:row>
    <x:row r="21" ht="28" customHeight="1">
      <x:c r="A21" s="54" t="str">
        <x:v>TRI-ENC-HSP-002-010-01</x:v>
      </x:c>
      <x:c r="B21" s="54" t="str">
        <x:v>ENC-HSP-002-010</x:v>
      </x:c>
      <x:c r="C21" s="54" t="n">
        <x:v>1</x:v>
      </x:c>
      <x:c r="D21" s="64" t="n">
        <x:v>46267.43541666667</x:v>
      </x:c>
      <x:c r="E21" s="54" t="n">
        <x:v>3</x:v>
      </x:c>
      <x:c r="F21" s="54" t="str">
        <x:v>RULE_ENGINE</x:v>
      </x:c>
      <x:c r="G21" s="54" t="str">
        <x:v>PENDING</x:v>
      </x:c>
      <x:c r="H21" s="64" t="n">
        <x:v>46267.44652777778</x:v>
      </x:c>
      <x:c r="I21" s="54" t="str">
        <x:v>demo-triage-rules-1.0.0</x:v>
      </x:c>
      <x:c r="J21" s="54" t="str">
        <x:v>hospital-config-1</x:v>
      </x:c>
      <x:c r="K21" s="55" t="b">
        <x:v>0</x:v>
      </x:c>
      <x:c r="L21" s="54" t="n">
        <x:v>3</x:v>
      </x:c>
      <x:c r="M21" s="54" t="str">
        <x:v>COMPLETE</x:v>
      </x:c>
      <x:c r="N21" s="55" t="b">
        <x:v>1</x:v>
      </x:c>
    </x:row>
    <x:row r="22" ht="28" customHeight="1">
      <x:c r="A22" s="54" t="str">
        <x:v>TRI-ENC-HSP-003-001-01</x:v>
      </x:c>
      <x:c r="B22" s="54" t="str">
        <x:v>ENC-HSP-003-001</x:v>
      </x:c>
      <x:c r="C22" s="54" t="n">
        <x:v>1</x:v>
      </x:c>
      <x:c r="D22" s="64" t="n">
        <x:v>46267.35208333333</x:v>
      </x:c>
      <x:c r="E22" s="54" t="n">
        <x:v>3</x:v>
      </x:c>
      <x:c r="F22" s="54" t="str">
        <x:v>RULE_ENGINE</x:v>
      </x:c>
      <x:c r="G22" s="54" t="str">
        <x:v>CONFIRMED</x:v>
      </x:c>
      <x:c r="H22" s="64" t="n">
        <x:v>46267.36319444444</x:v>
      </x:c>
      <x:c r="I22" s="54" t="str">
        <x:v>demo-triage-rules-1.0.0</x:v>
      </x:c>
      <x:c r="J22" s="54" t="str">
        <x:v>hospital-config-1</x:v>
      </x:c>
      <x:c r="K22" s="55" t="b">
        <x:v>0</x:v>
      </x:c>
      <x:c r="L22" s="54" t="n">
        <x:v>3</x:v>
      </x:c>
      <x:c r="M22" s="54" t="str">
        <x:v>COMPLETE</x:v>
      </x:c>
      <x:c r="N22" s="55" t="b">
        <x:v>1</x:v>
      </x:c>
    </x:row>
    <x:row r="23" ht="28" customHeight="1">
      <x:c r="A23" s="54" t="str">
        <x:v>TRI-ENC-HSP-003-002-01</x:v>
      </x:c>
      <x:c r="B23" s="54" t="str">
        <x:v>ENC-HSP-003-002</x:v>
      </x:c>
      <x:c r="C23" s="54" t="n">
        <x:v>1</x:v>
      </x:c>
      <x:c r="D23" s="64" t="n">
        <x:v>46267.356944444444</x:v>
      </x:c>
      <x:c r="E23" s="54" t="n">
        <x:v>3</x:v>
      </x:c>
      <x:c r="F23" s="54" t="str">
        <x:v>RULE_ENGINE</x:v>
      </x:c>
      <x:c r="G23" s="54" t="str">
        <x:v>CONFIRMED</x:v>
      </x:c>
      <x:c r="H23" s="64" t="n">
        <x:v>46267.368055555555</x:v>
      </x:c>
      <x:c r="I23" s="54" t="str">
        <x:v>demo-triage-rules-1.0.0</x:v>
      </x:c>
      <x:c r="J23" s="54" t="str">
        <x:v>hospital-config-1</x:v>
      </x:c>
      <x:c r="K23" s="55" t="b">
        <x:v>0</x:v>
      </x:c>
      <x:c r="L23" s="54" t="n">
        <x:v>3</x:v>
      </x:c>
      <x:c r="M23" s="54" t="str">
        <x:v>COMPLETE</x:v>
      </x:c>
      <x:c r="N23" s="55" t="b">
        <x:v>1</x:v>
      </x:c>
    </x:row>
    <x:row r="24" ht="28" customHeight="1">
      <x:c r="A24" s="54" t="str">
        <x:v>TRI-ENC-HSP-003-003-01</x:v>
      </x:c>
      <x:c r="B24" s="54" t="str">
        <x:v>ENC-HSP-003-003</x:v>
      </x:c>
      <x:c r="C24" s="54" t="n">
        <x:v>1</x:v>
      </x:c>
      <x:c r="D24" s="64" t="n">
        <x:v>46267.361805555556</x:v>
      </x:c>
      <x:c r="E24" s="54" t="n">
        <x:v>4</x:v>
      </x:c>
      <x:c r="F24" s="54" t="str">
        <x:v>RULE_ENGINE</x:v>
      </x:c>
      <x:c r="G24" s="54" t="str">
        <x:v>CONFIRMED</x:v>
      </x:c>
      <x:c r="H24" s="64" t="n">
        <x:v>46267.37291666667</x:v>
      </x:c>
      <x:c r="I24" s="54" t="str">
        <x:v>demo-triage-rules-1.0.0</x:v>
      </x:c>
      <x:c r="J24" s="54" t="str">
        <x:v>hospital-config-1</x:v>
      </x:c>
      <x:c r="K24" s="55" t="b">
        <x:v>0</x:v>
      </x:c>
      <x:c r="L24" s="54" t="n">
        <x:v>4</x:v>
      </x:c>
      <x:c r="M24" s="54" t="str">
        <x:v>COMPLETE</x:v>
      </x:c>
      <x:c r="N24" s="55" t="b">
        <x:v>1</x:v>
      </x:c>
    </x:row>
    <x:row r="25" ht="28" customHeight="1">
      <x:c r="A25" s="54" t="str">
        <x:v>TRI-ENC-HSP-003-004-01</x:v>
      </x:c>
      <x:c r="B25" s="54" t="str">
        <x:v>ENC-HSP-003-004</x:v>
      </x:c>
      <x:c r="C25" s="54" t="n">
        <x:v>1</x:v>
      </x:c>
      <x:c r="D25" s="64" t="n">
        <x:v>46267.40833333333</x:v>
      </x:c>
      <x:c r="E25" s="54" t="n">
        <x:v>4</x:v>
      </x:c>
      <x:c r="F25" s="54" t="str">
        <x:v>RULE_ENGINE</x:v>
      </x:c>
      <x:c r="G25" s="54" t="str">
        <x:v>CONFIRMED</x:v>
      </x:c>
      <x:c r="H25" s="64" t="n">
        <x:v>46267.419444444444</x:v>
      </x:c>
      <x:c r="I25" s="54" t="str">
        <x:v>demo-triage-rules-1.0.0</x:v>
      </x:c>
      <x:c r="J25" s="54" t="str">
        <x:v>hospital-config-1</x:v>
      </x:c>
      <x:c r="K25" s="55" t="b">
        <x:v>0</x:v>
      </x:c>
      <x:c r="L25" s="54" t="n">
        <x:v>4</x:v>
      </x:c>
      <x:c r="M25" s="54" t="str">
        <x:v>COMPLETE</x:v>
      </x:c>
      <x:c r="N25" s="55" t="b">
        <x:v>1</x:v>
      </x:c>
    </x:row>
    <x:row r="26" ht="28" customHeight="1">
      <x:c r="A26" s="54" t="str">
        <x:v>TRI-ENC-HSP-003-005-01</x:v>
      </x:c>
      <x:c r="B26" s="54" t="str">
        <x:v>ENC-HSP-003-005</x:v>
      </x:c>
      <x:c r="C26" s="54" t="n">
        <x:v>1</x:v>
      </x:c>
      <x:c r="D26" s="64" t="n">
        <x:v>46267.413194444445</x:v>
      </x:c>
      <x:c r="E26" s="54" t="n">
        <x:v>4</x:v>
      </x:c>
      <x:c r="F26" s="54" t="str">
        <x:v>RULE_ENGINE</x:v>
      </x:c>
      <x:c r="G26" s="54" t="str">
        <x:v>CONFIRMED</x:v>
      </x:c>
      <x:c r="H26" s="64" t="n">
        <x:v>46267.424305555556</x:v>
      </x:c>
      <x:c r="I26" s="54" t="str">
        <x:v>demo-triage-rules-1.0.0</x:v>
      </x:c>
      <x:c r="J26" s="54" t="str">
        <x:v>hospital-config-1</x:v>
      </x:c>
      <x:c r="K26" s="55" t="b">
        <x:v>0</x:v>
      </x:c>
      <x:c r="L26" s="54" t="n">
        <x:v>4</x:v>
      </x:c>
      <x:c r="M26" s="54" t="str">
        <x:v>COMPLETE</x:v>
      </x:c>
      <x:c r="N26" s="55" t="b">
        <x:v>1</x:v>
      </x:c>
    </x:row>
    <x:row r="27" ht="28" customHeight="1">
      <x:c r="A27" s="54" t="str">
        <x:v>TRI-ENC-HSP-003-006-01</x:v>
      </x:c>
      <x:c r="B27" s="54" t="str">
        <x:v>ENC-HSP-003-006</x:v>
      </x:c>
      <x:c r="C27" s="54" t="n">
        <x:v>1</x:v>
      </x:c>
      <x:c r="D27" s="64" t="n">
        <x:v>46267.41805555556</x:v>
      </x:c>
      <x:c r="E27" s="54" t="n">
        <x:v>4</x:v>
      </x:c>
      <x:c r="F27" s="54" t="str">
        <x:v>RULE_ENGINE</x:v>
      </x:c>
      <x:c r="G27" s="54" t="str">
        <x:v>CONFIRMED</x:v>
      </x:c>
      <x:c r="H27" s="64" t="n">
        <x:v>46267.42916666667</x:v>
      </x:c>
      <x:c r="I27" s="54" t="str">
        <x:v>demo-triage-rules-1.0.0</x:v>
      </x:c>
      <x:c r="J27" s="54" t="str">
        <x:v>hospital-config-1</x:v>
      </x:c>
      <x:c r="K27" s="55" t="b">
        <x:v>0</x:v>
      </x:c>
      <x:c r="L27" s="54" t="n">
        <x:v>4</x:v>
      </x:c>
      <x:c r="M27" s="54" t="str">
        <x:v>COMPLETE</x:v>
      </x:c>
      <x:c r="N27" s="55" t="b">
        <x:v>1</x:v>
      </x:c>
    </x:row>
    <x:row r="28" ht="28" customHeight="1">
      <x:c r="A28" s="54" t="str">
        <x:v>TRI-ENC-HSP-003-007-01</x:v>
      </x:c>
      <x:c r="B28" s="54" t="str">
        <x:v>ENC-HSP-003-007</x:v>
      </x:c>
      <x:c r="C28" s="54" t="n">
        <x:v>1</x:v>
      </x:c>
      <x:c r="D28" s="64" t="n">
        <x:v>46267.42291666667</x:v>
      </x:c>
      <x:c r="E28" s="54" t="n">
        <x:v>4</x:v>
      </x:c>
      <x:c r="F28" s="54" t="str">
        <x:v>RULE_ENGINE</x:v>
      </x:c>
      <x:c r="G28" s="54" t="str">
        <x:v>CONFIRMED</x:v>
      </x:c>
      <x:c r="H28" s="64" t="n">
        <x:v>46267.43402777778</x:v>
      </x:c>
      <x:c r="I28" s="54" t="str">
        <x:v>demo-triage-rules-1.0.0</x:v>
      </x:c>
      <x:c r="J28" s="54" t="str">
        <x:v>hospital-config-1</x:v>
      </x:c>
      <x:c r="K28" s="55" t="b">
        <x:v>0</x:v>
      </x:c>
      <x:c r="L28" s="54" t="n">
        <x:v>4</x:v>
      </x:c>
      <x:c r="M28" s="54" t="str">
        <x:v>COMPLETE</x:v>
      </x:c>
      <x:c r="N28" s="55" t="b">
        <x:v>1</x:v>
      </x:c>
    </x:row>
    <x:row r="29" ht="28" customHeight="1">
      <x:c r="A29" s="54" t="str">
        <x:v>TRI-ENC-HSP-003-008-01</x:v>
      </x:c>
      <x:c r="B29" s="54" t="str">
        <x:v>ENC-HSP-003-008</x:v>
      </x:c>
      <x:c r="C29" s="54" t="n">
        <x:v>1</x:v>
      </x:c>
      <x:c r="D29" s="64" t="n">
        <x:v>46267.427777777775</x:v>
      </x:c>
      <x:c r="E29" s="54" t="n">
        <x:v>4</x:v>
      </x:c>
      <x:c r="F29" s="54" t="str">
        <x:v>RULE_ENGINE</x:v>
      </x:c>
      <x:c r="G29" s="54" t="str">
        <x:v>PENDING</x:v>
      </x:c>
      <x:c r="H29" s="64" t="n">
        <x:v>46267.438888888886</x:v>
      </x:c>
      <x:c r="I29" s="54" t="str">
        <x:v>demo-triage-rules-1.0.0</x:v>
      </x:c>
      <x:c r="J29" s="54" t="str">
        <x:v>hospital-config-1</x:v>
      </x:c>
      <x:c r="K29" s="55" t="b">
        <x:v>0</x:v>
      </x:c>
      <x:c r="L29" s="54" t="n">
        <x:v>4</x:v>
      </x:c>
      <x:c r="M29" s="54" t="str">
        <x:v>COMPLETE</x:v>
      </x:c>
      <x:c r="N29" s="55" t="b">
        <x:v>1</x:v>
      </x:c>
    </x:row>
    <x:row r="30" ht="28" customHeight="1">
      <x:c r="A30" s="54" t="str">
        <x:v>TRI-ENC-HSP-003-009-01</x:v>
      </x:c>
      <x:c r="B30" s="54" t="str">
        <x:v>ENC-HSP-003-009</x:v>
      </x:c>
      <x:c r="C30" s="54" t="n">
        <x:v>1</x:v>
      </x:c>
      <x:c r="D30" s="64" t="n">
        <x:v>46267.43263888889</x:v>
      </x:c>
      <x:c r="E30" s="54" t="n">
        <x:v>5</x:v>
      </x:c>
      <x:c r="F30" s="54" t="str">
        <x:v>RULE_ENGINE</x:v>
      </x:c>
      <x:c r="G30" s="54" t="str">
        <x:v>PENDING</x:v>
      </x:c>
      <x:c r="H30" s="64" t="n">
        <x:v>46267.44375</x:v>
      </x:c>
      <x:c r="I30" s="54" t="str">
        <x:v>demo-triage-rules-1.0.0</x:v>
      </x:c>
      <x:c r="J30" s="54" t="str">
        <x:v>hospital-config-1</x:v>
      </x:c>
      <x:c r="K30" s="55" t="b">
        <x:v>0</x:v>
      </x:c>
      <x:c r="L30" s="54" t="n">
        <x:v>5</x:v>
      </x:c>
      <x:c r="M30" s="54" t="str">
        <x:v>COMPLETE</x:v>
      </x:c>
      <x:c r="N30" s="55" t="b">
        <x:v>1</x:v>
      </x:c>
    </x:row>
    <x:row r="31" ht="28" customHeight="1">
      <x:c r="A31" s="54" t="str">
        <x:v>TRI-ENC-HSP-003-010-01</x:v>
      </x:c>
      <x:c r="B31" s="54" t="str">
        <x:v>ENC-HSP-003-010</x:v>
      </x:c>
      <x:c r="C31" s="54" t="n">
        <x:v>1</x:v>
      </x:c>
      <x:c r="D31" s="64" t="n">
        <x:v>46267.4375</x:v>
      </x:c>
      <x:c r="E31" s="54" t="n">
        <x:v>5</x:v>
      </x:c>
      <x:c r="F31" s="54" t="str">
        <x:v>RULE_ENGINE</x:v>
      </x:c>
      <x:c r="G31" s="54" t="str">
        <x:v>PENDING</x:v>
      </x:c>
      <x:c r="H31" s="64" t="n">
        <x:v>46267.44861111111</x:v>
      </x:c>
      <x:c r="I31" s="54" t="str">
        <x:v>demo-triage-rules-1.0.0</x:v>
      </x:c>
      <x:c r="J31" s="54" t="str">
        <x:v>hospital-config-1</x:v>
      </x:c>
      <x:c r="K31" s="55" t="b">
        <x:v>0</x:v>
      </x:c>
      <x:c r="L31" s="54" t="n">
        <x:v>5</x:v>
      </x:c>
      <x:c r="M31" s="54" t="str">
        <x:v>COMPLETE</x:v>
      </x:c>
      <x:c r="N31" s="55" t="b">
        <x:v>1</x:v>
      </x:c>
    </x:row>
    <x:row r="32" ht="28" customHeight="1">
      <x:c r="A32" s="54" t="str">
        <x:v>TRI-ENC-HSP-004-001-01</x:v>
      </x:c>
      <x:c r="B32" s="54" t="str">
        <x:v>ENC-HSP-004-001</x:v>
      </x:c>
      <x:c r="C32" s="54" t="n">
        <x:v>1</x:v>
      </x:c>
      <x:c r="D32" s="64" t="n">
        <x:v>46267.354166666664</x:v>
      </x:c>
      <x:c r="E32" s="54" t="n">
        <x:v>5</x:v>
      </x:c>
      <x:c r="F32" s="54" t="str">
        <x:v>RULE_ENGINE</x:v>
      </x:c>
      <x:c r="G32" s="54" t="str">
        <x:v>CONFIRMED</x:v>
      </x:c>
      <x:c r="H32" s="64" t="n">
        <x:v>46267.365277777775</x:v>
      </x:c>
      <x:c r="I32" s="54" t="str">
        <x:v>demo-triage-rules-1.0.0</x:v>
      </x:c>
      <x:c r="J32" s="54" t="str">
        <x:v>hospital-config-1</x:v>
      </x:c>
      <x:c r="K32" s="55" t="b">
        <x:v>0</x:v>
      </x:c>
      <x:c r="L32" s="54" t="n">
        <x:v>5</x:v>
      </x:c>
      <x:c r="M32" s="54" t="str">
        <x:v>COMPLETE</x:v>
      </x:c>
      <x:c r="N32" s="55" t="b">
        <x:v>1</x:v>
      </x:c>
    </x:row>
    <x:row r="33" ht="28" customHeight="1">
      <x:c r="A33" s="54" t="str">
        <x:v>TRI-ENC-HSP-004-002-01</x:v>
      </x:c>
      <x:c r="B33" s="54" t="str">
        <x:v>ENC-HSP-004-002</x:v>
      </x:c>
      <x:c r="C33" s="54" t="n">
        <x:v>1</x:v>
      </x:c>
      <x:c r="D33" s="64" t="n">
        <x:v>46267.35902777778</x:v>
      </x:c>
      <x:c r="E33" s="54" t="n">
        <x:v>5</x:v>
      </x:c>
      <x:c r="F33" s="54" t="str">
        <x:v>RULE_ENGINE</x:v>
      </x:c>
      <x:c r="G33" s="54" t="str">
        <x:v>CONFIRMED</x:v>
      </x:c>
      <x:c r="H33" s="64" t="n">
        <x:v>46267.37013888889</x:v>
      </x:c>
      <x:c r="I33" s="54" t="str">
        <x:v>demo-triage-rules-1.0.0</x:v>
      </x:c>
      <x:c r="J33" s="54" t="str">
        <x:v>hospital-config-1</x:v>
      </x:c>
      <x:c r="K33" s="55" t="b">
        <x:v>0</x:v>
      </x:c>
      <x:c r="L33" s="54" t="n">
        <x:v>5</x:v>
      </x:c>
      <x:c r="M33" s="54" t="str">
        <x:v>COMPLETE</x:v>
      </x:c>
      <x:c r="N33" s="55" t="b">
        <x:v>1</x:v>
      </x:c>
    </x:row>
    <x:row r="34" ht="28" customHeight="1">
      <x:c r="A34" s="54" t="str">
        <x:v>TRI-ENC-HSP-004-003-01</x:v>
      </x:c>
      <x:c r="B34" s="54" t="str">
        <x:v>ENC-HSP-004-003</x:v>
      </x:c>
      <x:c r="C34" s="54" t="n">
        <x:v>1</x:v>
      </x:c>
      <x:c r="D34" s="64" t="n">
        <x:v>46267.36388888889</x:v>
      </x:c>
      <x:c r="E34" s="54" t="n">
        <x:v>4</x:v>
      </x:c>
      <x:c r="F34" s="54" t="str">
        <x:v>RULE_ENGINE</x:v>
      </x:c>
      <x:c r="G34" s="54" t="str">
        <x:v>CONFIRMED</x:v>
      </x:c>
      <x:c r="H34" s="64" t="n">
        <x:v>46267.375</x:v>
      </x:c>
      <x:c r="I34" s="54" t="str">
        <x:v>demo-triage-rules-1.0.0</x:v>
      </x:c>
      <x:c r="J34" s="54" t="str">
        <x:v>hospital-config-1</x:v>
      </x:c>
      <x:c r="K34" s="55" t="b">
        <x:v>0</x:v>
      </x:c>
      <x:c r="L34" s="54" t="n">
        <x:v>4</x:v>
      </x:c>
      <x:c r="M34" s="54" t="str">
        <x:v>COMPLETE</x:v>
      </x:c>
      <x:c r="N34" s="55" t="b">
        <x:v>1</x:v>
      </x:c>
    </x:row>
    <x:row r="35" ht="28" customHeight="1">
      <x:c r="A35" s="54" t="str">
        <x:v>TRI-ENC-HSP-004-004-01</x:v>
      </x:c>
      <x:c r="B35" s="54" t="str">
        <x:v>ENC-HSP-004-004</x:v>
      </x:c>
      <x:c r="C35" s="54" t="n">
        <x:v>1</x:v>
      </x:c>
      <x:c r="D35" s="64" t="n">
        <x:v>46267.410416666666</x:v>
      </x:c>
      <x:c r="E35" s="54" t="n">
        <x:v>4</x:v>
      </x:c>
      <x:c r="F35" s="54" t="str">
        <x:v>RULE_ENGINE</x:v>
      </x:c>
      <x:c r="G35" s="54" t="str">
        <x:v>CONFIRMED</x:v>
      </x:c>
      <x:c r="H35" s="64" t="n">
        <x:v>46267.42152777778</x:v>
      </x:c>
      <x:c r="I35" s="54" t="str">
        <x:v>demo-triage-rules-1.0.0</x:v>
      </x:c>
      <x:c r="J35" s="54" t="str">
        <x:v>hospital-config-1</x:v>
      </x:c>
      <x:c r="K35" s="55" t="b">
        <x:v>0</x:v>
      </x:c>
      <x:c r="L35" s="54" t="n">
        <x:v>4</x:v>
      </x:c>
      <x:c r="M35" s="54" t="str">
        <x:v>COMPLETE</x:v>
      </x:c>
      <x:c r="N35" s="55" t="b">
        <x:v>1</x:v>
      </x:c>
    </x:row>
    <x:row r="36" ht="28" customHeight="1">
      <x:c r="A36" s="54" t="str">
        <x:v>TRI-ENC-HSP-004-005-01</x:v>
      </x:c>
      <x:c r="B36" s="54" t="str">
        <x:v>ENC-HSP-004-005</x:v>
      </x:c>
      <x:c r="C36" s="54" t="n">
        <x:v>1</x:v>
      </x:c>
      <x:c r="D36" s="64" t="n">
        <x:v>46267.41527777778</x:v>
      </x:c>
      <x:c r="E36" s="54" t="n">
        <x:v>3</x:v>
      </x:c>
      <x:c r="F36" s="54" t="str">
        <x:v>RULE_ENGINE</x:v>
      </x:c>
      <x:c r="G36" s="54" t="str">
        <x:v>CONFIRMED</x:v>
      </x:c>
      <x:c r="H36" s="64" t="n">
        <x:v>46267.42638888889</x:v>
      </x:c>
      <x:c r="I36" s="54" t="str">
        <x:v>demo-triage-rules-1.0.0</x:v>
      </x:c>
      <x:c r="J36" s="54" t="str">
        <x:v>hospital-config-1</x:v>
      </x:c>
      <x:c r="K36" s="55" t="b">
        <x:v>0</x:v>
      </x:c>
      <x:c r="L36" s="54" t="n">
        <x:v>3</x:v>
      </x:c>
      <x:c r="M36" s="54" t="str">
        <x:v>LIMITED</x:v>
      </x:c>
      <x:c r="N36" s="55" t="b">
        <x:v>1</x:v>
      </x:c>
    </x:row>
    <x:row r="37" ht="28" customHeight="1">
      <x:c r="A37" s="54" t="str">
        <x:v>TRI-ENC-HSP-004-006-01</x:v>
      </x:c>
      <x:c r="B37" s="54" t="str">
        <x:v>ENC-HSP-004-006</x:v>
      </x:c>
      <x:c r="C37" s="54" t="n">
        <x:v>1</x:v>
      </x:c>
      <x:c r="D37" s="64" t="n">
        <x:v>46267.42013888889</x:v>
      </x:c>
      <x:c r="E37" s="54" t="n">
        <x:v>2</x:v>
      </x:c>
      <x:c r="F37" s="54" t="str">
        <x:v>RULE_ENGINE</x:v>
      </x:c>
      <x:c r="G37" s="54" t="str">
        <x:v>CONFIRMED</x:v>
      </x:c>
      <x:c r="H37" s="64" t="n">
        <x:v>46267.43125</x:v>
      </x:c>
      <x:c r="I37" s="54" t="str">
        <x:v>demo-triage-rules-1.0.0</x:v>
      </x:c>
      <x:c r="J37" s="54" t="str">
        <x:v>hospital-config-1</x:v>
      </x:c>
      <x:c r="K37" s="55" t="b">
        <x:v>1</x:v>
      </x:c>
      <x:c r="L37" s="54" t="n">
        <x:v>2</x:v>
      </x:c>
      <x:c r="M37" s="54" t="str">
        <x:v>COMPLETE</x:v>
      </x:c>
      <x:c r="N37" s="55" t="b">
        <x:v>1</x:v>
      </x:c>
    </x:row>
    <x:row r="38" ht="28" customHeight="1">
      <x:c r="A38" s="54" t="str">
        <x:v>TRI-ENC-HSP-004-007-01</x:v>
      </x:c>
      <x:c r="B38" s="54" t="str">
        <x:v>ENC-HSP-004-007</x:v>
      </x:c>
      <x:c r="C38" s="54" t="n">
        <x:v>1</x:v>
      </x:c>
      <x:c r="D38" s="64" t="n">
        <x:v>46267.425</x:v>
      </x:c>
      <x:c r="E38" s="54" t="n">
        <x:v>2</x:v>
      </x:c>
      <x:c r="F38" s="54" t="str">
        <x:v>RULE_ENGINE</x:v>
      </x:c>
      <x:c r="G38" s="54" t="str">
        <x:v>CONFIRMED</x:v>
      </x:c>
      <x:c r="H38" s="64" t="n">
        <x:v>46267.436111111114</x:v>
      </x:c>
      <x:c r="I38" s="54" t="str">
        <x:v>demo-triage-rules-1.0.0</x:v>
      </x:c>
      <x:c r="J38" s="54" t="str">
        <x:v>hospital-config-1</x:v>
      </x:c>
      <x:c r="K38" s="55" t="b">
        <x:v>1</x:v>
      </x:c>
      <x:c r="L38" s="54" t="n">
        <x:v>2</x:v>
      </x:c>
      <x:c r="M38" s="54" t="str">
        <x:v>COMPLETE</x:v>
      </x:c>
      <x:c r="N38" s="55" t="b">
        <x:v>1</x:v>
      </x:c>
    </x:row>
    <x:row r="39" ht="28" customHeight="1">
      <x:c r="A39" s="54" t="str">
        <x:v>TRI-ENC-HSP-004-008-01</x:v>
      </x:c>
      <x:c r="B39" s="54" t="str">
        <x:v>ENC-HSP-004-008</x:v>
      </x:c>
      <x:c r="C39" s="54" t="n">
        <x:v>1</x:v>
      </x:c>
      <x:c r="D39" s="64" t="n">
        <x:v>46267.42986111111</x:v>
      </x:c>
      <x:c r="E39" s="54" t="n">
        <x:v>3</x:v>
      </x:c>
      <x:c r="F39" s="54" t="str">
        <x:v>RULE_ENGINE</x:v>
      </x:c>
      <x:c r="G39" s="54" t="str">
        <x:v>PENDING</x:v>
      </x:c>
      <x:c r="H39" s="64" t="n">
        <x:v>46267.44097222222</x:v>
      </x:c>
      <x:c r="I39" s="54" t="str">
        <x:v>demo-triage-rules-1.0.0</x:v>
      </x:c>
      <x:c r="J39" s="54" t="str">
        <x:v>hospital-config-1</x:v>
      </x:c>
      <x:c r="K39" s="55" t="b">
        <x:v>0</x:v>
      </x:c>
      <x:c r="L39" s="54" t="n">
        <x:v>3</x:v>
      </x:c>
      <x:c r="M39" s="54" t="str">
        <x:v>LIMITED</x:v>
      </x:c>
      <x:c r="N39" s="55" t="b">
        <x:v>1</x:v>
      </x:c>
    </x:row>
    <x:row r="40" ht="28" customHeight="1">
      <x:c r="A40" s="54" t="str">
        <x:v>TRI-ENC-HSP-004-009-01</x:v>
      </x:c>
      <x:c r="B40" s="54" t="str">
        <x:v>ENC-HSP-004-009</x:v>
      </x:c>
      <x:c r="C40" s="54" t="n">
        <x:v>1</x:v>
      </x:c>
      <x:c r="D40" s="64" t="n">
        <x:v>46267.43472222222</x:v>
      </x:c>
      <x:c r="E40" s="54" t="n">
        <x:v>3</x:v>
      </x:c>
      <x:c r="F40" s="54" t="str">
        <x:v>RULE_ENGINE</x:v>
      </x:c>
      <x:c r="G40" s="54" t="str">
        <x:v>PENDING</x:v>
      </x:c>
      <x:c r="H40" s="64" t="n">
        <x:v>46267.44583333333</x:v>
      </x:c>
      <x:c r="I40" s="54" t="str">
        <x:v>demo-triage-rules-1.0.0</x:v>
      </x:c>
      <x:c r="J40" s="54" t="str">
        <x:v>hospital-config-1</x:v>
      </x:c>
      <x:c r="K40" s="55" t="b">
        <x:v>0</x:v>
      </x:c>
      <x:c r="L40" s="54" t="n">
        <x:v>3</x:v>
      </x:c>
      <x:c r="M40" s="54" t="str">
        <x:v>COMPLETE</x:v>
      </x:c>
      <x:c r="N40" s="55" t="b">
        <x:v>1</x:v>
      </x:c>
    </x:row>
    <x:row r="41" ht="28" customHeight="1">
      <x:c r="A41" s="56" t="str">
        <x:v>TRI-ENC-HSP-004-010-01</x:v>
      </x:c>
      <x:c r="B41" s="56" t="str">
        <x:v>ENC-HSP-004-010</x:v>
      </x:c>
      <x:c r="C41" s="56" t="n">
        <x:v>1</x:v>
      </x:c>
      <x:c r="D41" s="65" t="n">
        <x:v>46267.43958333333</x:v>
      </x:c>
      <x:c r="E41" s="56" t="n">
        <x:v>2</x:v>
      </x:c>
      <x:c r="F41" s="56" t="str">
        <x:v>RULE_ENGINE</x:v>
      </x:c>
      <x:c r="G41" s="56" t="str">
        <x:v>PENDING</x:v>
      </x:c>
      <x:c r="H41" s="65" t="n">
        <x:v>46267.450694444444</x:v>
      </x:c>
      <x:c r="I41" s="56" t="str">
        <x:v>demo-triage-rules-1.0.0</x:v>
      </x:c>
      <x:c r="J41" s="56" t="str">
        <x:v>hospital-config-1</x:v>
      </x:c>
      <x:c r="K41" s="57" t="b">
        <x:v>1</x:v>
      </x:c>
      <x:c r="L41" s="56" t="n">
        <x:v>2</x:v>
      </x:c>
      <x:c r="M41" s="56" t="str">
        <x:v>COMPLETE</x:v>
      </x:c>
      <x:c r="N41" s="57" t="b">
        <x:v>1</x:v>
      </x:c>
    </x:row>
  </x:sheetData>
  <x:conditionalFormatting sqref="E2:E41">
    <x:cfRule type="cellIs" dxfId="4" priority="1" operator="equal">
      <x:formula>1</x:formula>
    </x:cfRule>
    <x:cfRule type="cellIs" dxfId="5" priority="2" operator="equal">
      <x:formula>2</x:formula>
    </x:cfRule>
    <x:cfRule type="cellIs" dxfId="6" priority="3" operator="equal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5db311b2664c4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  <x:col min="7" max="7" width="38" hidden="0" customWidth="1"/>
    <x:col min="8" max="8" width="16" hidden="0" customWidth="1"/>
    <x:col min="9" max="9" width="18" hidden="0" customWidth="1"/>
  </x:cols>
  <x:sheetData>
    <x:row r="1" ht="34" customHeight="1">
      <x:c r="A1" s="53" t="str">
        <x:v>prescription_id</x:v>
      </x:c>
      <x:c r="B1" s="53" t="str">
        <x:v>encounter_id</x:v>
      </x:c>
      <x:c r="C1" s="53" t="str">
        <x:v>prescriber_assignment_id</x:v>
      </x:c>
      <x:c r="D1" s="53" t="str">
        <x:v>prescription_number</x:v>
      </x:c>
      <x:c r="E1" s="53" t="str">
        <x:v>status</x:v>
      </x:c>
      <x:c r="F1" s="53" t="str">
        <x:v>diagnosis_summary</x:v>
      </x:c>
      <x:c r="G1" s="53" t="str">
        <x:v>general_instructions</x:v>
      </x:c>
      <x:c r="H1" s="63" t="str">
        <x:v>issued_at</x:v>
      </x:c>
      <x:c r="I1" s="53" t="str">
        <x:v>is_synthetic</x:v>
      </x:c>
    </x:row>
    <x:row r="2" ht="36" customHeight="1">
      <x:c r="A2" s="54" t="str">
        <x:v>RX-ENC-HSP-001-005</x:v>
      </x:c>
      <x:c r="B2" s="54" t="str">
        <x:v>ENC-HSP-001-005</x:v>
      </x:c>
      <x:c r="C2" s="54" t="str">
        <x:v>DA-ENC-HSP-001-005</x:v>
      </x:c>
      <x:c r="D2" s="54" t="str">
        <x:v>RX-20260902-001-005</x:v>
      </x:c>
      <x:c r="E2" s="54" t="str">
        <x:v>NO_MEDICATION</x:v>
      </x:c>
      <x:c r="F2" s="61" t="str">
        <x:v>Demo working impression only; clinician verification required</x:v>
      </x:c>
      <x:c r="G2" s="61" t="str">
        <x:v>No medication plan recorded for this demo case</x:v>
      </x:c>
      <x:c r="H2" s="64" t="n">
        <x:v>46267.41458333333</x:v>
      </x:c>
      <x:c r="I2" s="55" t="b">
        <x:v>1</x:v>
      </x:c>
    </x:row>
    <x:row r="3" ht="36" customHeight="1">
      <x:c r="A3" s="54" t="str">
        <x:v>RX-ENC-HSP-001-006</x:v>
      </x:c>
      <x:c r="B3" s="54" t="str">
        <x:v>ENC-HSP-001-006</x:v>
      </x:c>
      <x:c r="C3" s="54" t="str">
        <x:v>DA-ENC-HSP-001-006</x:v>
      </x:c>
      <x:c r="D3" s="54" t="str">
        <x:v>RX-20260902-001-006</x:v>
      </x:c>
      <x:c r="E3" s="54" t="str">
        <x:v>DRAFT</x:v>
      </x:c>
      <x:c r="F3" s="61" t="str">
        <x:v>Demo working impression only; clinician verification required</x:v>
      </x:c>
      <x:c r="G3" s="61" t="str">
        <x:v>Demo placeholder plan; not clinical guidance</x:v>
      </x:c>
      <x:c r="H3" s="64" t="n">
        <x:v>46267.419444444444</x:v>
      </x:c>
      <x:c r="I3" s="55" t="b">
        <x:v>1</x:v>
      </x:c>
    </x:row>
    <x:row r="4" ht="36" customHeight="1">
      <x:c r="A4" s="54" t="str">
        <x:v>RX-ENC-HSP-001-007</x:v>
      </x:c>
      <x:c r="B4" s="54" t="str">
        <x:v>ENC-HSP-001-007</x:v>
      </x:c>
      <x:c r="C4" s="54" t="str">
        <x:v>DA-ENC-HSP-001-007</x:v>
      </x:c>
      <x:c r="D4" s="54" t="str">
        <x:v>RX-20260902-001-007</x:v>
      </x:c>
      <x:c r="E4" s="54" t="str">
        <x:v>DRAFT</x:v>
      </x:c>
      <x:c r="F4" s="61" t="str">
        <x:v>Demo working impression only; clinician verification required</x:v>
      </x:c>
      <x:c r="G4" s="61" t="str">
        <x:v>Demo placeholder plan; not clinical guidance</x:v>
      </x:c>
      <x:c r="H4" s="64" t="n">
        <x:v>46267.424305555556</x:v>
      </x:c>
      <x:c r="I4" s="55" t="b">
        <x:v>1</x:v>
      </x:c>
    </x:row>
    <x:row r="5" ht="36" customHeight="1">
      <x:c r="A5" s="54" t="str">
        <x:v>RX-ENC-HSP-001-008</x:v>
      </x:c>
      <x:c r="B5" s="54" t="str">
        <x:v>ENC-HSP-001-008</x:v>
      </x:c>
      <x:c r="C5" s="54" t="str">
        <x:v>DA-ENC-HSP-001-008</x:v>
      </x:c>
      <x:c r="D5" s="54" t="str">
        <x:v>RX-20260902-001-008</x:v>
      </x:c>
      <x:c r="E5" s="54" t="str">
        <x:v>DRAFT</x:v>
      </x:c>
      <x:c r="F5" s="61" t="str">
        <x:v>Demo working impression only; clinician verification required</x:v>
      </x:c>
      <x:c r="G5" s="61" t="str">
        <x:v>Demo placeholder plan; not clinical guidance</x:v>
      </x:c>
      <x:c r="H5" s="64" t="n">
        <x:v>46267.47083333333</x:v>
      </x:c>
      <x:c r="I5" s="55" t="b">
        <x:v>1</x:v>
      </x:c>
    </x:row>
    <x:row r="6" ht="36" customHeight="1">
      <x:c r="A6" s="54" t="str">
        <x:v>RX-ENC-HSP-001-009</x:v>
      </x:c>
      <x:c r="B6" s="54" t="str">
        <x:v>ENC-HSP-001-009</x:v>
      </x:c>
      <x:c r="C6" s="54" t="str">
        <x:v>DA-ENC-HSP-001-009</x:v>
      </x:c>
      <x:c r="D6" s="54" t="str">
        <x:v>RX-20260902-001-009</x:v>
      </x:c>
      <x:c r="E6" s="54" t="str">
        <x:v>NO_MEDICATION</x:v>
      </x:c>
      <x:c r="F6" s="61" t="str">
        <x:v>Demo working impression only; clinician verification required</x:v>
      </x:c>
      <x:c r="G6" s="61" t="str">
        <x:v>No medication plan recorded for this demo case</x:v>
      </x:c>
      <x:c r="H6" s="64" t="n">
        <x:v>46267.43402777778</x:v>
      </x:c>
      <x:c r="I6" s="55" t="b">
        <x:v>1</x:v>
      </x:c>
    </x:row>
    <x:row r="7" ht="36" customHeight="1">
      <x:c r="A7" s="54" t="str">
        <x:v>RX-ENC-HSP-001-010</x:v>
      </x:c>
      <x:c r="B7" s="54" t="str">
        <x:v>ENC-HSP-001-010</x:v>
      </x:c>
      <x:c r="C7" s="54" t="str">
        <x:v>DA-ENC-HSP-001-010</x:v>
      </x:c>
      <x:c r="D7" s="54" t="str">
        <x:v>RX-20260902-001-010</x:v>
      </x:c>
      <x:c r="E7" s="54" t="str">
        <x:v>DRAFT</x:v>
      </x:c>
      <x:c r="F7" s="61" t="str">
        <x:v>Demo working impression only; clinician verification required</x:v>
      </x:c>
      <x:c r="G7" s="61" t="str">
        <x:v>Demo placeholder plan; not clinical guidance</x:v>
      </x:c>
      <x:c r="H7" s="64" t="n">
        <x:v>46267.438888888886</x:v>
      </x:c>
      <x:c r="I7" s="55" t="b">
        <x:v>1</x:v>
      </x:c>
    </x:row>
    <x:row r="8" ht="36" customHeight="1">
      <x:c r="A8" s="54" t="str">
        <x:v>RX-ENC-HSP-002-001</x:v>
      </x:c>
      <x:c r="B8" s="54" t="str">
        <x:v>ENC-HSP-002-001</x:v>
      </x:c>
      <x:c r="C8" s="54" t="str">
        <x:v>DA-ENC-HSP-002-001</x:v>
      </x:c>
      <x:c r="D8" s="54" t="str">
        <x:v>RX-20260902-002-001</x:v>
      </x:c>
      <x:c r="E8" s="54" t="str">
        <x:v>DRAFT</x:v>
      </x:c>
      <x:c r="F8" s="61" t="str">
        <x:v>Demo working impression only; clinician verification required</x:v>
      </x:c>
      <x:c r="G8" s="61" t="str">
        <x:v>Demo placeholder plan; not clinical guidance</x:v>
      </x:c>
      <x:c r="H8" s="64" t="n">
        <x:v>46267.35555555556</x:v>
      </x:c>
      <x:c r="I8" s="55" t="b">
        <x:v>1</x:v>
      </x:c>
    </x:row>
    <x:row r="9" ht="36" customHeight="1">
      <x:c r="A9" s="54" t="str">
        <x:v>RX-ENC-HSP-002-002</x:v>
      </x:c>
      <x:c r="B9" s="54" t="str">
        <x:v>ENC-HSP-002-002</x:v>
      </x:c>
      <x:c r="C9" s="54" t="str">
        <x:v>DA-ENC-HSP-002-002</x:v>
      </x:c>
      <x:c r="D9" s="54" t="str">
        <x:v>RX-20260902-002-002</x:v>
      </x:c>
      <x:c r="E9" s="54" t="str">
        <x:v>DRAFT</x:v>
      </x:c>
      <x:c r="F9" s="61" t="str">
        <x:v>Demo working impression only; clinician verification required</x:v>
      </x:c>
      <x:c r="G9" s="61" t="str">
        <x:v>Demo placeholder plan; not clinical guidance</x:v>
      </x:c>
      <x:c r="H9" s="64" t="n">
        <x:v>46267.36041666667</x:v>
      </x:c>
      <x:c r="I9" s="55" t="b">
        <x:v>1</x:v>
      </x:c>
    </x:row>
    <x:row r="10" ht="36" customHeight="1">
      <x:c r="A10" s="54" t="str">
        <x:v>RX-ENC-HSP-002-003</x:v>
      </x:c>
      <x:c r="B10" s="54" t="str">
        <x:v>ENC-HSP-002-003</x:v>
      </x:c>
      <x:c r="C10" s="54" t="str">
        <x:v>DA-ENC-HSP-002-003</x:v>
      </x:c>
      <x:c r="D10" s="54" t="str">
        <x:v>RX-20260902-002-003</x:v>
      </x:c>
      <x:c r="E10" s="54" t="str">
        <x:v>NO_MEDICATION</x:v>
      </x:c>
      <x:c r="F10" s="61" t="str">
        <x:v>Demo working impression only; clinician verification required</x:v>
      </x:c>
      <x:c r="G10" s="61" t="str">
        <x:v>No medication plan recorded for this demo case</x:v>
      </x:c>
      <x:c r="H10" s="64" t="n">
        <x:v>46267.365277777775</x:v>
      </x:c>
      <x:c r="I10" s="55" t="b">
        <x:v>1</x:v>
      </x:c>
    </x:row>
    <x:row r="11" ht="36" customHeight="1">
      <x:c r="A11" s="54" t="str">
        <x:v>RX-ENC-HSP-002-004</x:v>
      </x:c>
      <x:c r="B11" s="54" t="str">
        <x:v>ENC-HSP-002-004</x:v>
      </x:c>
      <x:c r="C11" s="54" t="str">
        <x:v>DA-ENC-HSP-002-004</x:v>
      </x:c>
      <x:c r="D11" s="54" t="str">
        <x:v>RX-20260902-002-004</x:v>
      </x:c>
      <x:c r="E11" s="54" t="str">
        <x:v>DRAFT</x:v>
      </x:c>
      <x:c r="F11" s="61" t="str">
        <x:v>Demo working impression only; clinician verification required</x:v>
      </x:c>
      <x:c r="G11" s="61" t="str">
        <x:v>Demo placeholder plan; not clinical guidance</x:v>
      </x:c>
      <x:c r="H11" s="64" t="n">
        <x:v>46267.41180555556</x:v>
      </x:c>
      <x:c r="I11" s="55" t="b">
        <x:v>1</x:v>
      </x:c>
    </x:row>
    <x:row r="12" ht="36" customHeight="1">
      <x:c r="A12" s="54" t="str">
        <x:v>RX-ENC-HSP-002-005</x:v>
      </x:c>
      <x:c r="B12" s="54" t="str">
        <x:v>ENC-HSP-002-005</x:v>
      </x:c>
      <x:c r="C12" s="54" t="str">
        <x:v>DA-ENC-HSP-002-005</x:v>
      </x:c>
      <x:c r="D12" s="54" t="str">
        <x:v>RX-20260902-002-005</x:v>
      </x:c>
      <x:c r="E12" s="54" t="str">
        <x:v>DRAFT</x:v>
      </x:c>
      <x:c r="F12" s="61" t="str">
        <x:v>Demo working impression only; clinician verification required</x:v>
      </x:c>
      <x:c r="G12" s="61" t="str">
        <x:v>Demo placeholder plan; not clinical guidance</x:v>
      </x:c>
      <x:c r="H12" s="64" t="n">
        <x:v>46267.416666666664</x:v>
      </x:c>
      <x:c r="I12" s="55" t="b">
        <x:v>1</x:v>
      </x:c>
    </x:row>
    <x:row r="13" ht="36" customHeight="1">
      <x:c r="A13" s="54" t="str">
        <x:v>RX-ENC-HSP-002-006</x:v>
      </x:c>
      <x:c r="B13" s="54" t="str">
        <x:v>ENC-HSP-002-006</x:v>
      </x:c>
      <x:c r="C13" s="54" t="str">
        <x:v>DA-ENC-HSP-002-006</x:v>
      </x:c>
      <x:c r="D13" s="54" t="str">
        <x:v>RX-20260902-002-006</x:v>
      </x:c>
      <x:c r="E13" s="54" t="str">
        <x:v>DRAFT</x:v>
      </x:c>
      <x:c r="F13" s="61" t="str">
        <x:v>Demo working impression only; clinician verification required</x:v>
      </x:c>
      <x:c r="G13" s="61" t="str">
        <x:v>Demo placeholder plan; not clinical guidance</x:v>
      </x:c>
      <x:c r="H13" s="64" t="n">
        <x:v>46267.42152777778</x:v>
      </x:c>
      <x:c r="I13" s="55" t="b">
        <x:v>1</x:v>
      </x:c>
    </x:row>
    <x:row r="14" ht="36" customHeight="1">
      <x:c r="A14" s="54" t="str">
        <x:v>RX-ENC-HSP-002-007</x:v>
      </x:c>
      <x:c r="B14" s="54" t="str">
        <x:v>ENC-HSP-002-007</x:v>
      </x:c>
      <x:c r="C14" s="54" t="str">
        <x:v>DA-ENC-HSP-002-007</x:v>
      </x:c>
      <x:c r="D14" s="54" t="str">
        <x:v>RX-20260902-002-007</x:v>
      </x:c>
      <x:c r="E14" s="54" t="str">
        <x:v>NO_MEDICATION</x:v>
      </x:c>
      <x:c r="F14" s="61" t="str">
        <x:v>Demo working impression only; clinician verification required</x:v>
      </x:c>
      <x:c r="G14" s="61" t="str">
        <x:v>No medication plan recorded for this demo case</x:v>
      </x:c>
      <x:c r="H14" s="64" t="n">
        <x:v>46267.42638888889</x:v>
      </x:c>
      <x:c r="I14" s="55" t="b">
        <x:v>1</x:v>
      </x:c>
    </x:row>
    <x:row r="15" ht="36" customHeight="1">
      <x:c r="A15" s="54" t="str">
        <x:v>RX-ENC-HSP-002-008</x:v>
      </x:c>
      <x:c r="B15" s="54" t="str">
        <x:v>ENC-HSP-002-008</x:v>
      </x:c>
      <x:c r="C15" s="54" t="str">
        <x:v>DA-ENC-HSP-002-008</x:v>
      </x:c>
      <x:c r="D15" s="54" t="str">
        <x:v>RX-20260902-002-008</x:v>
      </x:c>
      <x:c r="E15" s="54" t="str">
        <x:v>DRAFT</x:v>
      </x:c>
      <x:c r="F15" s="61" t="str">
        <x:v>Demo working impression only; clinician verification required</x:v>
      </x:c>
      <x:c r="G15" s="61" t="str">
        <x:v>Demo placeholder plan; not clinical guidance</x:v>
      </x:c>
      <x:c r="H15" s="64" t="n">
        <x:v>46267.472916666666</x:v>
      </x:c>
      <x:c r="I15" s="55" t="b">
        <x:v>1</x:v>
      </x:c>
    </x:row>
    <x:row r="16" ht="36" customHeight="1">
      <x:c r="A16" s="54" t="str">
        <x:v>RX-ENC-HSP-002-009</x:v>
      </x:c>
      <x:c r="B16" s="54" t="str">
        <x:v>ENC-HSP-002-009</x:v>
      </x:c>
      <x:c r="C16" s="54" t="str">
        <x:v>DA-ENC-HSP-002-009</x:v>
      </x:c>
      <x:c r="D16" s="54" t="str">
        <x:v>RX-20260902-002-009</x:v>
      </x:c>
      <x:c r="E16" s="54" t="str">
        <x:v>DRAFT</x:v>
      </x:c>
      <x:c r="F16" s="61" t="str">
        <x:v>Demo working impression only; clinician verification required</x:v>
      </x:c>
      <x:c r="G16" s="61" t="str">
        <x:v>Demo placeholder plan; not clinical guidance</x:v>
      </x:c>
      <x:c r="H16" s="64" t="n">
        <x:v>46267.436111111114</x:v>
      </x:c>
      <x:c r="I16" s="55" t="b">
        <x:v>1</x:v>
      </x:c>
    </x:row>
    <x:row r="17" ht="36" customHeight="1">
      <x:c r="A17" s="54" t="str">
        <x:v>RX-ENC-HSP-002-010</x:v>
      </x:c>
      <x:c r="B17" s="54" t="str">
        <x:v>ENC-HSP-002-010</x:v>
      </x:c>
      <x:c r="C17" s="54" t="str">
        <x:v>DA-ENC-HSP-002-010</x:v>
      </x:c>
      <x:c r="D17" s="54" t="str">
        <x:v>RX-20260902-002-010</x:v>
      </x:c>
      <x:c r="E17" s="54" t="str">
        <x:v>DRAFT</x:v>
      </x:c>
      <x:c r="F17" s="61" t="str">
        <x:v>Demo working impression only; clinician verification required</x:v>
      </x:c>
      <x:c r="G17" s="61" t="str">
        <x:v>Demo placeholder plan; not clinical guidance</x:v>
      </x:c>
      <x:c r="H17" s="64" t="n">
        <x:v>46267.44097222222</x:v>
      </x:c>
      <x:c r="I17" s="55" t="b">
        <x:v>1</x:v>
      </x:c>
    </x:row>
    <x:row r="18" ht="36" customHeight="1">
      <x:c r="A18" s="54" t="str">
        <x:v>RX-ENC-HSP-003-001</x:v>
      </x:c>
      <x:c r="B18" s="54" t="str">
        <x:v>ENC-HSP-003-001</x:v>
      </x:c>
      <x:c r="C18" s="54" t="str">
        <x:v>DA-ENC-HSP-003-001</x:v>
      </x:c>
      <x:c r="D18" s="54" t="str">
        <x:v>RX-20260902-003-001</x:v>
      </x:c>
      <x:c r="E18" s="54" t="str">
        <x:v>NO_MEDICATION</x:v>
      </x:c>
      <x:c r="F18" s="61" t="str">
        <x:v>Demo working impression only; clinician verification required</x:v>
      </x:c>
      <x:c r="G18" s="61" t="str">
        <x:v>No medication plan recorded for this demo case</x:v>
      </x:c>
      <x:c r="H18" s="64" t="n">
        <x:v>46267.35763888889</x:v>
      </x:c>
      <x:c r="I18" s="55" t="b">
        <x:v>1</x:v>
      </x:c>
    </x:row>
    <x:row r="19" ht="36" customHeight="1">
      <x:c r="A19" s="54" t="str">
        <x:v>RX-ENC-HSP-003-002</x:v>
      </x:c>
      <x:c r="B19" s="54" t="str">
        <x:v>ENC-HSP-003-002</x:v>
      </x:c>
      <x:c r="C19" s="54" t="str">
        <x:v>DA-ENC-HSP-003-002</x:v>
      </x:c>
      <x:c r="D19" s="54" t="str">
        <x:v>RX-20260902-003-002</x:v>
      </x:c>
      <x:c r="E19" s="54" t="str">
        <x:v>DRAFT</x:v>
      </x:c>
      <x:c r="F19" s="61" t="str">
        <x:v>Demo working impression only; clinician verification required</x:v>
      </x:c>
      <x:c r="G19" s="61" t="str">
        <x:v>Demo placeholder plan; not clinical guidance</x:v>
      </x:c>
      <x:c r="H19" s="64" t="n">
        <x:v>46267.3625</x:v>
      </x:c>
      <x:c r="I19" s="55" t="b">
        <x:v>1</x:v>
      </x:c>
    </x:row>
    <x:row r="20" ht="36" customHeight="1">
      <x:c r="A20" s="54" t="str">
        <x:v>RX-ENC-HSP-003-003</x:v>
      </x:c>
      <x:c r="B20" s="54" t="str">
        <x:v>ENC-HSP-003-003</x:v>
      </x:c>
      <x:c r="C20" s="54" t="str">
        <x:v>DA-ENC-HSP-003-003</x:v>
      </x:c>
      <x:c r="D20" s="54" t="str">
        <x:v>RX-20260902-003-003</x:v>
      </x:c>
      <x:c r="E20" s="54" t="str">
        <x:v>DRAFT</x:v>
      </x:c>
      <x:c r="F20" s="61" t="str">
        <x:v>Demo working impression only; clinician verification required</x:v>
      </x:c>
      <x:c r="G20" s="61" t="str">
        <x:v>Demo placeholder plan; not clinical guidance</x:v>
      </x:c>
      <x:c r="H20" s="64" t="n">
        <x:v>46267.36736111111</x:v>
      </x:c>
      <x:c r="I20" s="55" t="b">
        <x:v>1</x:v>
      </x:c>
    </x:row>
    <x:row r="21" ht="36" customHeight="1">
      <x:c r="A21" s="54" t="str">
        <x:v>RX-ENC-HSP-003-004</x:v>
      </x:c>
      <x:c r="B21" s="54" t="str">
        <x:v>ENC-HSP-003-004</x:v>
      </x:c>
      <x:c r="C21" s="54" t="str">
        <x:v>DA-ENC-HSP-003-004</x:v>
      </x:c>
      <x:c r="D21" s="54" t="str">
        <x:v>RX-20260902-003-004</x:v>
      </x:c>
      <x:c r="E21" s="54" t="str">
        <x:v>DRAFT</x:v>
      </x:c>
      <x:c r="F21" s="61" t="str">
        <x:v>Demo working impression only; clinician verification required</x:v>
      </x:c>
      <x:c r="G21" s="61" t="str">
        <x:v>Demo placeholder plan; not clinical guidance</x:v>
      </x:c>
      <x:c r="H21" s="64" t="n">
        <x:v>46267.41388888889</x:v>
      </x:c>
      <x:c r="I21" s="55" t="b">
        <x:v>1</x:v>
      </x:c>
    </x:row>
    <x:row r="22" ht="36" customHeight="1">
      <x:c r="A22" s="54" t="str">
        <x:v>RX-ENC-HSP-003-005</x:v>
      </x:c>
      <x:c r="B22" s="54" t="str">
        <x:v>ENC-HSP-003-005</x:v>
      </x:c>
      <x:c r="C22" s="54" t="str">
        <x:v>DA-ENC-HSP-003-005</x:v>
      </x:c>
      <x:c r="D22" s="54" t="str">
        <x:v>RX-20260902-003-005</x:v>
      </x:c>
      <x:c r="E22" s="54" t="str">
        <x:v>NO_MEDICATION</x:v>
      </x:c>
      <x:c r="F22" s="61" t="str">
        <x:v>Demo working impression only; clinician verification required</x:v>
      </x:c>
      <x:c r="G22" s="61" t="str">
        <x:v>No medication plan recorded for this demo case</x:v>
      </x:c>
      <x:c r="H22" s="64" t="n">
        <x:v>46267.41875</x:v>
      </x:c>
      <x:c r="I22" s="55" t="b">
        <x:v>1</x:v>
      </x:c>
    </x:row>
    <x:row r="23" ht="36" customHeight="1">
      <x:c r="A23" s="54" t="str">
        <x:v>RX-ENC-HSP-003-006</x:v>
      </x:c>
      <x:c r="B23" s="54" t="str">
        <x:v>ENC-HSP-003-006</x:v>
      </x:c>
      <x:c r="C23" s="54" t="str">
        <x:v>DA-ENC-HSP-003-006</x:v>
      </x:c>
      <x:c r="D23" s="54" t="str">
        <x:v>RX-20260902-003-006</x:v>
      </x:c>
      <x:c r="E23" s="54" t="str">
        <x:v>DRAFT</x:v>
      </x:c>
      <x:c r="F23" s="61" t="str">
        <x:v>Demo working impression only; clinician verification required</x:v>
      </x:c>
      <x:c r="G23" s="61" t="str">
        <x:v>Demo placeholder plan; not clinical guidance</x:v>
      </x:c>
      <x:c r="H23" s="64" t="n">
        <x:v>46267.42361111111</x:v>
      </x:c>
      <x:c r="I23" s="55" t="b">
        <x:v>1</x:v>
      </x:c>
    </x:row>
    <x:row r="24" ht="36" customHeight="1">
      <x:c r="A24" s="54" t="str">
        <x:v>RX-ENC-HSP-003-007</x:v>
      </x:c>
      <x:c r="B24" s="54" t="str">
        <x:v>ENC-HSP-003-007</x:v>
      </x:c>
      <x:c r="C24" s="54" t="str">
        <x:v>DA-ENC-HSP-003-007</x:v>
      </x:c>
      <x:c r="D24" s="54" t="str">
        <x:v>RX-20260902-003-007</x:v>
      </x:c>
      <x:c r="E24" s="54" t="str">
        <x:v>DRAFT</x:v>
      </x:c>
      <x:c r="F24" s="61" t="str">
        <x:v>Demo working impression only; clinician verification required</x:v>
      </x:c>
      <x:c r="G24" s="61" t="str">
        <x:v>Demo placeholder plan; not clinical guidance</x:v>
      </x:c>
      <x:c r="H24" s="64" t="n">
        <x:v>46267.42847222222</x:v>
      </x:c>
      <x:c r="I24" s="55" t="b">
        <x:v>1</x:v>
      </x:c>
    </x:row>
    <x:row r="25" ht="36" customHeight="1">
      <x:c r="A25" s="54" t="str">
        <x:v>RX-ENC-HSP-003-008</x:v>
      </x:c>
      <x:c r="B25" s="54" t="str">
        <x:v>ENC-HSP-003-008</x:v>
      </x:c>
      <x:c r="C25" s="54" t="str">
        <x:v>DA-ENC-HSP-003-008</x:v>
      </x:c>
      <x:c r="D25" s="54" t="str">
        <x:v>RX-20260902-003-008</x:v>
      </x:c>
      <x:c r="E25" s="54" t="str">
        <x:v>DRAFT</x:v>
      </x:c>
      <x:c r="F25" s="61" t="str">
        <x:v>Demo working impression only; clinician verification required</x:v>
      </x:c>
      <x:c r="G25" s="61" t="str">
        <x:v>Demo placeholder plan; not clinical guidance</x:v>
      </x:c>
      <x:c r="H25" s="64" t="n">
        <x:v>46267.433333333334</x:v>
      </x:c>
      <x:c r="I25" s="55" t="b">
        <x:v>1</x:v>
      </x:c>
    </x:row>
    <x:row r="26" ht="36" customHeight="1">
      <x:c r="A26" s="54" t="str">
        <x:v>RX-ENC-HSP-003-009</x:v>
      </x:c>
      <x:c r="B26" s="54" t="str">
        <x:v>ENC-HSP-003-009</x:v>
      </x:c>
      <x:c r="C26" s="54" t="str">
        <x:v>DA-ENC-HSP-003-009</x:v>
      </x:c>
      <x:c r="D26" s="54" t="str">
        <x:v>RX-20260902-003-009</x:v>
      </x:c>
      <x:c r="E26" s="54" t="str">
        <x:v>NO_MEDICATION</x:v>
      </x:c>
      <x:c r="F26" s="61" t="str">
        <x:v>Demo working impression only; clinician verification required</x:v>
      </x:c>
      <x:c r="G26" s="61" t="str">
        <x:v>No medication plan recorded for this demo case</x:v>
      </x:c>
      <x:c r="H26" s="64" t="n">
        <x:v>46267.43819444445</x:v>
      </x:c>
      <x:c r="I26" s="55" t="b">
        <x:v>1</x:v>
      </x:c>
    </x:row>
    <x:row r="27" ht="36" customHeight="1">
      <x:c r="A27" s="54" t="str">
        <x:v>RX-ENC-HSP-003-010</x:v>
      </x:c>
      <x:c r="B27" s="54" t="str">
        <x:v>ENC-HSP-003-010</x:v>
      </x:c>
      <x:c r="C27" s="54" t="str">
        <x:v>DA-ENC-HSP-003-010</x:v>
      </x:c>
      <x:c r="D27" s="54" t="str">
        <x:v>RX-20260902-003-010</x:v>
      </x:c>
      <x:c r="E27" s="54" t="str">
        <x:v>DRAFT</x:v>
      </x:c>
      <x:c r="F27" s="61" t="str">
        <x:v>Demo working impression only; clinician verification required</x:v>
      </x:c>
      <x:c r="G27" s="61" t="str">
        <x:v>Demo placeholder plan; not clinical guidance</x:v>
      </x:c>
      <x:c r="H27" s="64" t="n">
        <x:v>46267.44305555556</x:v>
      </x:c>
      <x:c r="I27" s="55" t="b">
        <x:v>1</x:v>
      </x:c>
    </x:row>
    <x:row r="28" ht="36" customHeight="1">
      <x:c r="A28" s="54" t="str">
        <x:v>RX-ENC-HSP-004-001</x:v>
      </x:c>
      <x:c r="B28" s="54" t="str">
        <x:v>ENC-HSP-004-001</x:v>
      </x:c>
      <x:c r="C28" s="54" t="str">
        <x:v>DA-ENC-HSP-004-001</x:v>
      </x:c>
      <x:c r="D28" s="54" t="str">
        <x:v>RX-20260902-004-001</x:v>
      </x:c>
      <x:c r="E28" s="54" t="str">
        <x:v>DRAFT</x:v>
      </x:c>
      <x:c r="F28" s="61" t="str">
        <x:v>Demo working impression only; clinician verification required</x:v>
      </x:c>
      <x:c r="G28" s="61" t="str">
        <x:v>Demo placeholder plan; not clinical guidance</x:v>
      </x:c>
      <x:c r="H28" s="64" t="n">
        <x:v>46267.35972222222</x:v>
      </x:c>
      <x:c r="I28" s="55" t="b">
        <x:v>1</x:v>
      </x:c>
    </x:row>
    <x:row r="29" ht="36" customHeight="1">
      <x:c r="A29" s="56" t="str">
        <x:v>RX-ENC-HSP-004-002</x:v>
      </x:c>
      <x:c r="B29" s="56" t="str">
        <x:v>ENC-HSP-004-002</x:v>
      </x:c>
      <x:c r="C29" s="56" t="str">
        <x:v>DA-ENC-HSP-004-002</x:v>
      </x:c>
      <x:c r="D29" s="56" t="str">
        <x:v>RX-20260902-004-002</x:v>
      </x:c>
      <x:c r="E29" s="56" t="str">
        <x:v>DRAFT</x:v>
      </x:c>
      <x:c r="F29" s="62" t="str">
        <x:v>Demo working impression only; clinician verification required</x:v>
      </x:c>
      <x:c r="G29" s="62" t="str">
        <x:v>Demo placeholder plan; not clinical guidance</x:v>
      </x:c>
      <x:c r="H29" s="65" t="n">
        <x:v>46267.364583333336</x:v>
      </x:c>
      <x:c r="I29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287b7fa88e645c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8" hidden="0" customWidth="1"/>
    <x:col min="13" max="13" width="18" hidden="0" customWidth="1"/>
  </x:cols>
  <x:sheetData>
    <x:row r="1" ht="34" customHeight="1">
      <x:c r="A1" s="53" t="str">
        <x:v>prescription_item_id</x:v>
      </x:c>
      <x:c r="B1" s="53" t="str">
        <x:v>prescription_id</x:v>
      </x:c>
      <x:c r="C1" s="53" t="str">
        <x:v>generic_name</x:v>
      </x:c>
      <x:c r="D1" s="53" t="str">
        <x:v>dosage_form</x:v>
      </x:c>
      <x:c r="E1" s="53" t="str">
        <x:v>strength</x:v>
      </x:c>
      <x:c r="F1" s="53" t="str">
        <x:v>dose</x:v>
      </x:c>
      <x:c r="G1" s="53" t="str">
        <x:v>route</x:v>
      </x:c>
      <x:c r="H1" s="53" t="str">
        <x:v>frequency</x:v>
      </x:c>
      <x:c r="I1" s="53" t="str">
        <x:v>duration_value</x:v>
      </x:c>
      <x:c r="J1" s="53" t="str">
        <x:v>duration_unit</x:v>
      </x:c>
      <x:c r="K1" s="53" t="str">
        <x:v>quantity</x:v>
      </x:c>
      <x:c r="L1" s="53" t="str">
        <x:v>instructions</x:v>
      </x:c>
      <x:c r="M1" s="53" t="str">
        <x:v>is_demo_only</x:v>
      </x:c>
    </x:row>
    <x:row r="2" ht="36" customHeight="1">
      <x:c r="A2" s="54" t="str">
        <x:v>RXI-ENC-HSP-001-006-01</x:v>
      </x:c>
      <x:c r="B2" s="54" t="str">
        <x:v>RX-ENC-HSP-001-006</x:v>
      </x:c>
      <x:c r="C2" s="54" t="str">
        <x:v>DEMO_MEDICATION_PLACEHOLDER</x:v>
      </x:c>
      <x:c r="D2" s="54" t="str">
        <x:v>Not specified</x:v>
      </x:c>
      <x:c r="E2" s="54" t="str">
        <x:v>Not specified</x:v>
      </x:c>
      <x:c r="F2" s="54" t="str">
        <x:v>Not specified</x:v>
      </x:c>
      <x:c r="G2" s="54" t="str">
        <x:v>Not specified</x:v>
      </x:c>
      <x:c r="H2" s="54" t="str">
        <x:v>Not specified</x:v>
      </x:c>
      <x:c r="I2" s="54"/>
      <x:c r="J2" s="54"/>
      <x:c r="K2" s="54"/>
      <x:c r="L2" s="61" t="str">
        <x:v>Must be replaced by an authorised clinician; not a treatment recommendation</x:v>
      </x:c>
      <x:c r="M2" s="55" t="b">
        <x:v>1</x:v>
      </x:c>
    </x:row>
    <x:row r="3" ht="36" customHeight="1">
      <x:c r="A3" s="54" t="str">
        <x:v>RXI-ENC-HSP-001-007-01</x:v>
      </x:c>
      <x:c r="B3" s="54" t="str">
        <x:v>RX-ENC-HSP-001-007</x:v>
      </x:c>
      <x:c r="C3" s="54" t="str">
        <x:v>DEMO_MEDICATION_PLACEHOLDER</x:v>
      </x:c>
      <x:c r="D3" s="54" t="str">
        <x:v>Not specified</x:v>
      </x:c>
      <x:c r="E3" s="54" t="str">
        <x:v>Not specified</x:v>
      </x:c>
      <x:c r="F3" s="54" t="str">
        <x:v>Not specified</x:v>
      </x:c>
      <x:c r="G3" s="54" t="str">
        <x:v>Not specified</x:v>
      </x:c>
      <x:c r="H3" s="54" t="str">
        <x:v>Not specified</x:v>
      </x:c>
      <x:c r="I3" s="54"/>
      <x:c r="J3" s="54"/>
      <x:c r="K3" s="54"/>
      <x:c r="L3" s="61" t="str">
        <x:v>Must be replaced by an authorised clinician; not a treatment recommendation</x:v>
      </x:c>
      <x:c r="M3" s="55" t="b">
        <x:v>1</x:v>
      </x:c>
    </x:row>
    <x:row r="4" ht="36" customHeight="1">
      <x:c r="A4" s="54" t="str">
        <x:v>RXI-ENC-HSP-001-008-01</x:v>
      </x:c>
      <x:c r="B4" s="54" t="str">
        <x:v>RX-ENC-HSP-001-008</x:v>
      </x:c>
      <x:c r="C4" s="54" t="str">
        <x:v>DEMO_MEDICATION_PLACEHOLDER</x:v>
      </x:c>
      <x:c r="D4" s="54" t="str">
        <x:v>Not specified</x:v>
      </x:c>
      <x:c r="E4" s="54" t="str">
        <x:v>Not specified</x:v>
      </x:c>
      <x:c r="F4" s="54" t="str">
        <x:v>Not specified</x:v>
      </x:c>
      <x:c r="G4" s="54" t="str">
        <x:v>Not specified</x:v>
      </x:c>
      <x:c r="H4" s="54" t="str">
        <x:v>Not specified</x:v>
      </x:c>
      <x:c r="I4" s="54"/>
      <x:c r="J4" s="54"/>
      <x:c r="K4" s="54"/>
      <x:c r="L4" s="61" t="str">
        <x:v>Must be replaced by an authorised clinician; not a treatment recommendation</x:v>
      </x:c>
      <x:c r="M4" s="55" t="b">
        <x:v>1</x:v>
      </x:c>
    </x:row>
    <x:row r="5" ht="36" customHeight="1">
      <x:c r="A5" s="54" t="str">
        <x:v>RXI-ENC-HSP-001-010-01</x:v>
      </x:c>
      <x:c r="B5" s="54" t="str">
        <x:v>RX-ENC-HSP-001-010</x:v>
      </x:c>
      <x:c r="C5" s="54" t="str">
        <x:v>DEMO_MEDICATION_PLACEHOLDER</x:v>
      </x:c>
      <x:c r="D5" s="54" t="str">
        <x:v>Not specified</x:v>
      </x:c>
      <x:c r="E5" s="54" t="str">
        <x:v>Not specified</x:v>
      </x:c>
      <x:c r="F5" s="54" t="str">
        <x:v>Not specified</x:v>
      </x:c>
      <x:c r="G5" s="54" t="str">
        <x:v>Not specified</x:v>
      </x:c>
      <x:c r="H5" s="54" t="str">
        <x:v>Not specified</x:v>
      </x:c>
      <x:c r="I5" s="54"/>
      <x:c r="J5" s="54"/>
      <x:c r="K5" s="54"/>
      <x:c r="L5" s="61" t="str">
        <x:v>Must be replaced by an authorised clinician; not a treatment recommendation</x:v>
      </x:c>
      <x:c r="M5" s="55" t="b">
        <x:v>1</x:v>
      </x:c>
    </x:row>
    <x:row r="6" ht="36" customHeight="1">
      <x:c r="A6" s="54" t="str">
        <x:v>RXI-ENC-HSP-002-001-01</x:v>
      </x:c>
      <x:c r="B6" s="54" t="str">
        <x:v>RX-ENC-HSP-002-001</x:v>
      </x:c>
      <x:c r="C6" s="54" t="str">
        <x:v>DEMO_MEDICATION_PLACEHOLDER</x:v>
      </x:c>
      <x:c r="D6" s="54" t="str">
        <x:v>Not specified</x:v>
      </x:c>
      <x:c r="E6" s="54" t="str">
        <x:v>Not specified</x:v>
      </x:c>
      <x:c r="F6" s="54" t="str">
        <x:v>Not specified</x:v>
      </x:c>
      <x:c r="G6" s="54" t="str">
        <x:v>Not specified</x:v>
      </x:c>
      <x:c r="H6" s="54" t="str">
        <x:v>Not specified</x:v>
      </x:c>
      <x:c r="I6" s="54"/>
      <x:c r="J6" s="54"/>
      <x:c r="K6" s="54"/>
      <x:c r="L6" s="61" t="str">
        <x:v>Must be replaced by an authorised clinician; not a treatment recommendation</x:v>
      </x:c>
      <x:c r="M6" s="55" t="b">
        <x:v>1</x:v>
      </x:c>
    </x:row>
    <x:row r="7" ht="36" customHeight="1">
      <x:c r="A7" s="54" t="str">
        <x:v>RXI-ENC-HSP-002-002-01</x:v>
      </x:c>
      <x:c r="B7" s="54" t="str">
        <x:v>RX-ENC-HSP-002-002</x:v>
      </x:c>
      <x:c r="C7" s="54" t="str">
        <x:v>DEMO_MEDICATION_PLACEHOLDER</x:v>
      </x:c>
      <x:c r="D7" s="54" t="str">
        <x:v>Not specified</x:v>
      </x:c>
      <x:c r="E7" s="54" t="str">
        <x:v>Not specified</x:v>
      </x:c>
      <x:c r="F7" s="54" t="str">
        <x:v>Not specified</x:v>
      </x:c>
      <x:c r="G7" s="54" t="str">
        <x:v>Not specified</x:v>
      </x:c>
      <x:c r="H7" s="54" t="str">
        <x:v>Not specified</x:v>
      </x:c>
      <x:c r="I7" s="54"/>
      <x:c r="J7" s="54"/>
      <x:c r="K7" s="54"/>
      <x:c r="L7" s="61" t="str">
        <x:v>Must be replaced by an authorised clinician; not a treatment recommendation</x:v>
      </x:c>
      <x:c r="M7" s="55" t="b">
        <x:v>1</x:v>
      </x:c>
    </x:row>
    <x:row r="8" ht="36" customHeight="1">
      <x:c r="A8" s="54" t="str">
        <x:v>RXI-ENC-HSP-002-004-01</x:v>
      </x:c>
      <x:c r="B8" s="54" t="str">
        <x:v>RX-ENC-HSP-002-004</x:v>
      </x:c>
      <x:c r="C8" s="54" t="str">
        <x:v>DEMO_MEDICATION_PLACEHOLDER</x:v>
      </x:c>
      <x:c r="D8" s="54" t="str">
        <x:v>Not specified</x:v>
      </x:c>
      <x:c r="E8" s="54" t="str">
        <x:v>Not specified</x:v>
      </x:c>
      <x:c r="F8" s="54" t="str">
        <x:v>Not specified</x:v>
      </x:c>
      <x:c r="G8" s="54" t="str">
        <x:v>Not specified</x:v>
      </x:c>
      <x:c r="H8" s="54" t="str">
        <x:v>Not specified</x:v>
      </x:c>
      <x:c r="I8" s="54"/>
      <x:c r="J8" s="54"/>
      <x:c r="K8" s="54"/>
      <x:c r="L8" s="61" t="str">
        <x:v>Must be replaced by an authorised clinician; not a treatment recommendation</x:v>
      </x:c>
      <x:c r="M8" s="55" t="b">
        <x:v>1</x:v>
      </x:c>
    </x:row>
    <x:row r="9" ht="36" customHeight="1">
      <x:c r="A9" s="54" t="str">
        <x:v>RXI-ENC-HSP-002-005-01</x:v>
      </x:c>
      <x:c r="B9" s="54" t="str">
        <x:v>RX-ENC-HSP-002-005</x:v>
      </x:c>
      <x:c r="C9" s="54" t="str">
        <x:v>DEMO_MEDICATION_PLACEHOLDER</x:v>
      </x:c>
      <x:c r="D9" s="54" t="str">
        <x:v>Not specified</x:v>
      </x:c>
      <x:c r="E9" s="54" t="str">
        <x:v>Not specified</x:v>
      </x:c>
      <x:c r="F9" s="54" t="str">
        <x:v>Not specified</x:v>
      </x:c>
      <x:c r="G9" s="54" t="str">
        <x:v>Not specified</x:v>
      </x:c>
      <x:c r="H9" s="54" t="str">
        <x:v>Not specified</x:v>
      </x:c>
      <x:c r="I9" s="54"/>
      <x:c r="J9" s="54"/>
      <x:c r="K9" s="54"/>
      <x:c r="L9" s="61" t="str">
        <x:v>Must be replaced by an authorised clinician; not a treatment recommendation</x:v>
      </x:c>
      <x:c r="M9" s="55" t="b">
        <x:v>1</x:v>
      </x:c>
    </x:row>
    <x:row r="10" ht="36" customHeight="1">
      <x:c r="A10" s="54" t="str">
        <x:v>RXI-ENC-HSP-002-006-01</x:v>
      </x:c>
      <x:c r="B10" s="54" t="str">
        <x:v>RX-ENC-HSP-002-006</x:v>
      </x:c>
      <x:c r="C10" s="54" t="str">
        <x:v>DEMO_MEDICATION_PLACEHOLDER</x:v>
      </x:c>
      <x:c r="D10" s="54" t="str">
        <x:v>Not specified</x:v>
      </x:c>
      <x:c r="E10" s="54" t="str">
        <x:v>Not specified</x:v>
      </x:c>
      <x:c r="F10" s="54" t="str">
        <x:v>Not specified</x:v>
      </x:c>
      <x:c r="G10" s="54" t="str">
        <x:v>Not specified</x:v>
      </x:c>
      <x:c r="H10" s="54" t="str">
        <x:v>Not specified</x:v>
      </x:c>
      <x:c r="I10" s="54"/>
      <x:c r="J10" s="54"/>
      <x:c r="K10" s="54"/>
      <x:c r="L10" s="61" t="str">
        <x:v>Must be replaced by an authorised clinician; not a treatment recommendation</x:v>
      </x:c>
      <x:c r="M10" s="55" t="b">
        <x:v>1</x:v>
      </x:c>
    </x:row>
    <x:row r="11" ht="36" customHeight="1">
      <x:c r="A11" s="54" t="str">
        <x:v>RXI-ENC-HSP-002-008-01</x:v>
      </x:c>
      <x:c r="B11" s="54" t="str">
        <x:v>RX-ENC-HSP-002-008</x:v>
      </x:c>
      <x:c r="C11" s="54" t="str">
        <x:v>DEMO_MEDICATION_PLACEHOLDER</x:v>
      </x:c>
      <x:c r="D11" s="54" t="str">
        <x:v>Not specified</x:v>
      </x:c>
      <x:c r="E11" s="54" t="str">
        <x:v>Not specified</x:v>
      </x:c>
      <x:c r="F11" s="54" t="str">
        <x:v>Not specified</x:v>
      </x:c>
      <x:c r="G11" s="54" t="str">
        <x:v>Not specified</x:v>
      </x:c>
      <x:c r="H11" s="54" t="str">
        <x:v>Not specified</x:v>
      </x:c>
      <x:c r="I11" s="54"/>
      <x:c r="J11" s="54"/>
      <x:c r="K11" s="54"/>
      <x:c r="L11" s="61" t="str">
        <x:v>Must be replaced by an authorised clinician; not a treatment recommendation</x:v>
      </x:c>
      <x:c r="M11" s="55" t="b">
        <x:v>1</x:v>
      </x:c>
    </x:row>
    <x:row r="12" ht="36" customHeight="1">
      <x:c r="A12" s="54" t="str">
        <x:v>RXI-ENC-HSP-002-009-01</x:v>
      </x:c>
      <x:c r="B12" s="54" t="str">
        <x:v>RX-ENC-HSP-002-009</x:v>
      </x:c>
      <x:c r="C12" s="54" t="str">
        <x:v>DEMO_MEDICATION_PLACEHOLDER</x:v>
      </x:c>
      <x:c r="D12" s="54" t="str">
        <x:v>Not specified</x:v>
      </x:c>
      <x:c r="E12" s="54" t="str">
        <x:v>Not specified</x:v>
      </x:c>
      <x:c r="F12" s="54" t="str">
        <x:v>Not specified</x:v>
      </x:c>
      <x:c r="G12" s="54" t="str">
        <x:v>Not specified</x:v>
      </x:c>
      <x:c r="H12" s="54" t="str">
        <x:v>Not specified</x:v>
      </x:c>
      <x:c r="I12" s="54"/>
      <x:c r="J12" s="54"/>
      <x:c r="K12" s="54"/>
      <x:c r="L12" s="61" t="str">
        <x:v>Must be replaced by an authorised clinician; not a treatment recommendation</x:v>
      </x:c>
      <x:c r="M12" s="55" t="b">
        <x:v>1</x:v>
      </x:c>
    </x:row>
    <x:row r="13" ht="36" customHeight="1">
      <x:c r="A13" s="54" t="str">
        <x:v>RXI-ENC-HSP-002-010-01</x:v>
      </x:c>
      <x:c r="B13" s="54" t="str">
        <x:v>RX-ENC-HSP-002-010</x:v>
      </x:c>
      <x:c r="C13" s="54" t="str">
        <x:v>DEMO_MEDICATION_PLACEHOLDER</x:v>
      </x:c>
      <x:c r="D13" s="54" t="str">
        <x:v>Not specified</x:v>
      </x:c>
      <x:c r="E13" s="54" t="str">
        <x:v>Not specified</x:v>
      </x:c>
      <x:c r="F13" s="54" t="str">
        <x:v>Not specified</x:v>
      </x:c>
      <x:c r="G13" s="54" t="str">
        <x:v>Not specified</x:v>
      </x:c>
      <x:c r="H13" s="54" t="str">
        <x:v>Not specified</x:v>
      </x:c>
      <x:c r="I13" s="54"/>
      <x:c r="J13" s="54"/>
      <x:c r="K13" s="54"/>
      <x:c r="L13" s="61" t="str">
        <x:v>Must be replaced by an authorised clinician; not a treatment recommendation</x:v>
      </x:c>
      <x:c r="M13" s="55" t="b">
        <x:v>1</x:v>
      </x:c>
    </x:row>
    <x:row r="14" ht="36" customHeight="1">
      <x:c r="A14" s="54" t="str">
        <x:v>RXI-ENC-HSP-003-002-01</x:v>
      </x:c>
      <x:c r="B14" s="54" t="str">
        <x:v>RX-ENC-HSP-003-002</x:v>
      </x:c>
      <x:c r="C14" s="54" t="str">
        <x:v>DEMO_MEDICATION_PLACEHOLDER</x:v>
      </x:c>
      <x:c r="D14" s="54" t="str">
        <x:v>Not specified</x:v>
      </x:c>
      <x:c r="E14" s="54" t="str">
        <x:v>Not specified</x:v>
      </x:c>
      <x:c r="F14" s="54" t="str">
        <x:v>Not specified</x:v>
      </x:c>
      <x:c r="G14" s="54" t="str">
        <x:v>Not specified</x:v>
      </x:c>
      <x:c r="H14" s="54" t="str">
        <x:v>Not specified</x:v>
      </x:c>
      <x:c r="I14" s="54"/>
      <x:c r="J14" s="54"/>
      <x:c r="K14" s="54"/>
      <x:c r="L14" s="61" t="str">
        <x:v>Must be replaced by an authorised clinician; not a treatment recommendation</x:v>
      </x:c>
      <x:c r="M14" s="55" t="b">
        <x:v>1</x:v>
      </x:c>
    </x:row>
    <x:row r="15" ht="36" customHeight="1">
      <x:c r="A15" s="54" t="str">
        <x:v>RXI-ENC-HSP-003-003-01</x:v>
      </x:c>
      <x:c r="B15" s="54" t="str">
        <x:v>RX-ENC-HSP-003-003</x:v>
      </x:c>
      <x:c r="C15" s="54" t="str">
        <x:v>DEMO_MEDICATION_PLACEHOLDER</x:v>
      </x:c>
      <x:c r="D15" s="54" t="str">
        <x:v>Not specified</x:v>
      </x:c>
      <x:c r="E15" s="54" t="str">
        <x:v>Not specified</x:v>
      </x:c>
      <x:c r="F15" s="54" t="str">
        <x:v>Not specified</x:v>
      </x:c>
      <x:c r="G15" s="54" t="str">
        <x:v>Not specified</x:v>
      </x:c>
      <x:c r="H15" s="54" t="str">
        <x:v>Not specified</x:v>
      </x:c>
      <x:c r="I15" s="54"/>
      <x:c r="J15" s="54"/>
      <x:c r="K15" s="54"/>
      <x:c r="L15" s="61" t="str">
        <x:v>Must be replaced by an authorised clinician; not a treatment recommendation</x:v>
      </x:c>
      <x:c r="M15" s="55" t="b">
        <x:v>1</x:v>
      </x:c>
    </x:row>
    <x:row r="16" ht="36" customHeight="1">
      <x:c r="A16" s="54" t="str">
        <x:v>RXI-ENC-HSP-003-004-01</x:v>
      </x:c>
      <x:c r="B16" s="54" t="str">
        <x:v>RX-ENC-HSP-003-004</x:v>
      </x:c>
      <x:c r="C16" s="54" t="str">
        <x:v>DEMO_MEDICATION_PLACEHOLDER</x:v>
      </x:c>
      <x:c r="D16" s="54" t="str">
        <x:v>Not specified</x:v>
      </x:c>
      <x:c r="E16" s="54" t="str">
        <x:v>Not specified</x:v>
      </x:c>
      <x:c r="F16" s="54" t="str">
        <x:v>Not specified</x:v>
      </x:c>
      <x:c r="G16" s="54" t="str">
        <x:v>Not specified</x:v>
      </x:c>
      <x:c r="H16" s="54" t="str">
        <x:v>Not specified</x:v>
      </x:c>
      <x:c r="I16" s="54"/>
      <x:c r="J16" s="54"/>
      <x:c r="K16" s="54"/>
      <x:c r="L16" s="61" t="str">
        <x:v>Must be replaced by an authorised clinician; not a treatment recommendation</x:v>
      </x:c>
      <x:c r="M16" s="55" t="b">
        <x:v>1</x:v>
      </x:c>
    </x:row>
    <x:row r="17" ht="36" customHeight="1">
      <x:c r="A17" s="54" t="str">
        <x:v>RXI-ENC-HSP-003-006-01</x:v>
      </x:c>
      <x:c r="B17" s="54" t="str">
        <x:v>RX-ENC-HSP-003-006</x:v>
      </x:c>
      <x:c r="C17" s="54" t="str">
        <x:v>DEMO_MEDICATION_PLACEHOLDER</x:v>
      </x:c>
      <x:c r="D17" s="54" t="str">
        <x:v>Not specified</x:v>
      </x:c>
      <x:c r="E17" s="54" t="str">
        <x:v>Not specified</x:v>
      </x:c>
      <x:c r="F17" s="54" t="str">
        <x:v>Not specified</x:v>
      </x:c>
      <x:c r="G17" s="54" t="str">
        <x:v>Not specified</x:v>
      </x:c>
      <x:c r="H17" s="54" t="str">
        <x:v>Not specified</x:v>
      </x:c>
      <x:c r="I17" s="54"/>
      <x:c r="J17" s="54"/>
      <x:c r="K17" s="54"/>
      <x:c r="L17" s="61" t="str">
        <x:v>Must be replaced by an authorised clinician; not a treatment recommendation</x:v>
      </x:c>
      <x:c r="M17" s="55" t="b">
        <x:v>1</x:v>
      </x:c>
    </x:row>
    <x:row r="18" ht="36" customHeight="1">
      <x:c r="A18" s="54" t="str">
        <x:v>RXI-ENC-HSP-003-007-01</x:v>
      </x:c>
      <x:c r="B18" s="54" t="str">
        <x:v>RX-ENC-HSP-003-007</x:v>
      </x:c>
      <x:c r="C18" s="54" t="str">
        <x:v>DEMO_MEDICATION_PLACEHOLDER</x:v>
      </x:c>
      <x:c r="D18" s="54" t="str">
        <x:v>Not specified</x:v>
      </x:c>
      <x:c r="E18" s="54" t="str">
        <x:v>Not specified</x:v>
      </x:c>
      <x:c r="F18" s="54" t="str">
        <x:v>Not specified</x:v>
      </x:c>
      <x:c r="G18" s="54" t="str">
        <x:v>Not specified</x:v>
      </x:c>
      <x:c r="H18" s="54" t="str">
        <x:v>Not specified</x:v>
      </x:c>
      <x:c r="I18" s="54"/>
      <x:c r="J18" s="54"/>
      <x:c r="K18" s="54"/>
      <x:c r="L18" s="61" t="str">
        <x:v>Must be replaced by an authorised clinician; not a treatment recommendation</x:v>
      </x:c>
      <x:c r="M18" s="55" t="b">
        <x:v>1</x:v>
      </x:c>
    </x:row>
    <x:row r="19" ht="36" customHeight="1">
      <x:c r="A19" s="54" t="str">
        <x:v>RXI-ENC-HSP-003-008-01</x:v>
      </x:c>
      <x:c r="B19" s="54" t="str">
        <x:v>RX-ENC-HSP-003-008</x:v>
      </x:c>
      <x:c r="C19" s="54" t="str">
        <x:v>DEMO_MEDICATION_PLACEHOLDER</x:v>
      </x:c>
      <x:c r="D19" s="54" t="str">
        <x:v>Not specified</x:v>
      </x:c>
      <x:c r="E19" s="54" t="str">
        <x:v>Not specified</x:v>
      </x:c>
      <x:c r="F19" s="54" t="str">
        <x:v>Not specified</x:v>
      </x:c>
      <x:c r="G19" s="54" t="str">
        <x:v>Not specified</x:v>
      </x:c>
      <x:c r="H19" s="54" t="str">
        <x:v>Not specified</x:v>
      </x:c>
      <x:c r="I19" s="54"/>
      <x:c r="J19" s="54"/>
      <x:c r="K19" s="54"/>
      <x:c r="L19" s="61" t="str">
        <x:v>Must be replaced by an authorised clinician; not a treatment recommendation</x:v>
      </x:c>
      <x:c r="M19" s="55" t="b">
        <x:v>1</x:v>
      </x:c>
    </x:row>
    <x:row r="20" ht="36" customHeight="1">
      <x:c r="A20" s="54" t="str">
        <x:v>RXI-ENC-HSP-003-010-01</x:v>
      </x:c>
      <x:c r="B20" s="54" t="str">
        <x:v>RX-ENC-HSP-003-010</x:v>
      </x:c>
      <x:c r="C20" s="54" t="str">
        <x:v>DEMO_MEDICATION_PLACEHOLDER</x:v>
      </x:c>
      <x:c r="D20" s="54" t="str">
        <x:v>Not specified</x:v>
      </x:c>
      <x:c r="E20" s="54" t="str">
        <x:v>Not specified</x:v>
      </x:c>
      <x:c r="F20" s="54" t="str">
        <x:v>Not specified</x:v>
      </x:c>
      <x:c r="G20" s="54" t="str">
        <x:v>Not specified</x:v>
      </x:c>
      <x:c r="H20" s="54" t="str">
        <x:v>Not specified</x:v>
      </x:c>
      <x:c r="I20" s="54"/>
      <x:c r="J20" s="54"/>
      <x:c r="K20" s="54"/>
      <x:c r="L20" s="61" t="str">
        <x:v>Must be replaced by an authorised clinician; not a treatment recommendation</x:v>
      </x:c>
      <x:c r="M20" s="55" t="b">
        <x:v>1</x:v>
      </x:c>
    </x:row>
    <x:row r="21" ht="36" customHeight="1">
      <x:c r="A21" s="54" t="str">
        <x:v>RXI-ENC-HSP-004-001-01</x:v>
      </x:c>
      <x:c r="B21" s="54" t="str">
        <x:v>RX-ENC-HSP-004-001</x:v>
      </x:c>
      <x:c r="C21" s="54" t="str">
        <x:v>DEMO_MEDICATION_PLACEHOLDER</x:v>
      </x:c>
      <x:c r="D21" s="54" t="str">
        <x:v>Not specified</x:v>
      </x:c>
      <x:c r="E21" s="54" t="str">
        <x:v>Not specified</x:v>
      </x:c>
      <x:c r="F21" s="54" t="str">
        <x:v>Not specified</x:v>
      </x:c>
      <x:c r="G21" s="54" t="str">
        <x:v>Not specified</x:v>
      </x:c>
      <x:c r="H21" s="54" t="str">
        <x:v>Not specified</x:v>
      </x:c>
      <x:c r="I21" s="54"/>
      <x:c r="J21" s="54"/>
      <x:c r="K21" s="54"/>
      <x:c r="L21" s="61" t="str">
        <x:v>Must be replaced by an authorised clinician; not a treatment recommendation</x:v>
      </x:c>
      <x:c r="M21" s="55" t="b">
        <x:v>1</x:v>
      </x:c>
    </x:row>
    <x:row r="22" ht="36" customHeight="1">
      <x:c r="A22" s="56" t="str">
        <x:v>RXI-ENC-HSP-004-002-01</x:v>
      </x:c>
      <x:c r="B22" s="56" t="str">
        <x:v>RX-ENC-HSP-004-002</x:v>
      </x:c>
      <x:c r="C22" s="56" t="str">
        <x:v>DEMO_MEDICATION_PLACEHOLDER</x:v>
      </x:c>
      <x:c r="D22" s="56" t="str">
        <x:v>Not specified</x:v>
      </x:c>
      <x:c r="E22" s="56" t="str">
        <x:v>Not specified</x:v>
      </x:c>
      <x:c r="F22" s="56" t="str">
        <x:v>Not specified</x:v>
      </x:c>
      <x:c r="G22" s="56" t="str">
        <x:v>Not specified</x:v>
      </x:c>
      <x:c r="H22" s="56" t="str">
        <x:v>Not specified</x:v>
      </x:c>
      <x:c r="I22" s="56"/>
      <x:c r="J22" s="56"/>
      <x:c r="K22" s="56"/>
      <x:c r="L22" s="62" t="str">
        <x:v>Must be replaced by an authorised clinician; not a treatment recommendation</x:v>
      </x:c>
      <x:c r="M22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acd7945491e469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  <x:col min="13" max="13" width="16" hidden="0" customWidth="1"/>
    <x:col min="14" max="14" width="18" hidden="0" customWidth="1"/>
  </x:cols>
  <x:sheetData>
    <x:row r="1" ht="34" customHeight="1">
      <x:c r="A1" s="53" t="str">
        <x:v>invoice_id</x:v>
      </x:c>
      <x:c r="B1" s="53" t="str">
        <x:v>encounter_id</x:v>
      </x:c>
      <x:c r="C1" s="53" t="str">
        <x:v>invoice_number</x:v>
      </x:c>
      <x:c r="D1" s="53" t="str">
        <x:v>coverage_scheme_code</x:v>
      </x:c>
      <x:c r="E1" s="53" t="str">
        <x:v>currency_code</x:v>
      </x:c>
      <x:c r="F1" s="53" t="str">
        <x:v>subtotal</x:v>
      </x:c>
      <x:c r="G1" s="53" t="str">
        <x:v>discount_total</x:v>
      </x:c>
      <x:c r="H1" s="53" t="str">
        <x:v>tax_total</x:v>
      </x:c>
      <x:c r="I1" s="53" t="str">
        <x:v>grand_total</x:v>
      </x:c>
      <x:c r="J1" s="53" t="str">
        <x:v>amount_paid</x:v>
      </x:c>
      <x:c r="K1" s="53" t="str">
        <x:v>balance_due</x:v>
      </x:c>
      <x:c r="L1" s="53" t="str">
        <x:v>status</x:v>
      </x:c>
      <x:c r="M1" s="63" t="str">
        <x:v>issued_at</x:v>
      </x:c>
      <x:c r="N1" s="53" t="str">
        <x:v>is_synthetic</x:v>
      </x:c>
    </x:row>
    <x:row r="2" ht="28" customHeight="1">
      <x:c r="A2" s="54" t="str">
        <x:v>INV-ENC-HSP-001-001</x:v>
      </x:c>
      <x:c r="B2" s="54" t="str">
        <x:v>ENC-HSP-001-001</x:v>
      </x:c>
      <x:c r="C2" s="54" t="str">
        <x:v>INV-20260902-001-001</x:v>
      </x:c>
      <x:c r="D2" s="54" t="str">
        <x:v>DEMO_INSURANCE</x:v>
      </x:c>
      <x:c r="E2" s="54" t="str">
        <x:v>INR</x:v>
      </x:c>
      <x:c r="F2" s="54" t="n">
        <x:v>850</x:v>
      </x:c>
      <x:c r="G2" s="54" t="n">
        <x:v>0</x:v>
      </x:c>
      <x:c r="H2" s="54" t="n">
        <x:v>0</x:v>
      </x:c>
      <x:c r="I2" s="54" t="n">
        <x:v>850</x:v>
      </x:c>
      <x:c r="J2" s="54" t="n">
        <x:v>0</x:v>
      </x:c>
      <x:c r="K2" s="54" t="n">
        <x:v>850</x:v>
      </x:c>
      <x:c r="L2" s="54" t="str">
        <x:v>DRAFT</x:v>
      </x:c>
      <x:c r="M2" s="64" t="n">
        <x:v>46267.35208333333</x:v>
      </x:c>
      <x:c r="N2" s="55" t="b">
        <x:v>1</x:v>
      </x:c>
    </x:row>
    <x:row r="3" ht="28" customHeight="1">
      <x:c r="A3" s="54" t="str">
        <x:v>INV-ENC-HSP-001-002</x:v>
      </x:c>
      <x:c r="B3" s="54" t="str">
        <x:v>ENC-HSP-001-002</x:v>
      </x:c>
      <x:c r="C3" s="54" t="str">
        <x:v>INV-20260902-001-002</x:v>
      </x:c>
      <x:c r="D3" s="54" t="str">
        <x:v>GOVT_DEMO</x:v>
      </x:c>
      <x:c r="E3" s="54" t="str">
        <x:v>INR</x:v>
      </x:c>
      <x:c r="F3" s="54" t="n">
        <x:v>850</x:v>
      </x:c>
      <x:c r="G3" s="54" t="n">
        <x:v>0</x:v>
      </x:c>
      <x:c r="H3" s="54" t="n">
        <x:v>0</x:v>
      </x:c>
      <x:c r="I3" s="54" t="n">
        <x:v>850</x:v>
      </x:c>
      <x:c r="J3" s="54" t="n">
        <x:v>0</x:v>
      </x:c>
      <x:c r="K3" s="54" t="n">
        <x:v>850</x:v>
      </x:c>
      <x:c r="L3" s="54" t="str">
        <x:v>DRAFT</x:v>
      </x:c>
      <x:c r="M3" s="64" t="n">
        <x:v>46267.356944444444</x:v>
      </x:c>
      <x:c r="N3" s="55" t="b">
        <x:v>1</x:v>
      </x:c>
    </x:row>
    <x:row r="4" ht="28" customHeight="1">
      <x:c r="A4" s="54" t="str">
        <x:v>INV-ENC-HSP-001-003</x:v>
      </x:c>
      <x:c r="B4" s="54" t="str">
        <x:v>ENC-HSP-001-003</x:v>
      </x:c>
      <x:c r="C4" s="54" t="str">
        <x:v>INV-20260902-001-003</x:v>
      </x:c>
      <x:c r="D4" s="54" t="str">
        <x:v>SELF_PAY</x:v>
      </x:c>
      <x:c r="E4" s="54" t="str">
        <x:v>INR</x:v>
      </x:c>
      <x:c r="F4" s="54" t="n">
        <x:v>850</x:v>
      </x:c>
      <x:c r="G4" s="54" t="n">
        <x:v>0</x:v>
      </x:c>
      <x:c r="H4" s="54" t="n">
        <x:v>0</x:v>
      </x:c>
      <x:c r="I4" s="54" t="n">
        <x:v>850</x:v>
      </x:c>
      <x:c r="J4" s="54" t="n">
        <x:v>0</x:v>
      </x:c>
      <x:c r="K4" s="54" t="n">
        <x:v>850</x:v>
      </x:c>
      <x:c r="L4" s="54" t="str">
        <x:v>DRAFT</x:v>
      </x:c>
      <x:c r="M4" s="64" t="n">
        <x:v>46267.361805555556</x:v>
      </x:c>
      <x:c r="N4" s="55" t="b">
        <x:v>1</x:v>
      </x:c>
    </x:row>
    <x:row r="5" ht="28" customHeight="1">
      <x:c r="A5" s="54" t="str">
        <x:v>INV-ENC-HSP-001-004</x:v>
      </x:c>
      <x:c r="B5" s="54" t="str">
        <x:v>ENC-HSP-001-004</x:v>
      </x:c>
      <x:c r="C5" s="54" t="str">
        <x:v>INV-20260902-001-004</x:v>
      </x:c>
      <x:c r="D5" s="54" t="str">
        <x:v>DEMO_INSURANCE</x:v>
      </x:c>
      <x:c r="E5" s="54" t="str">
        <x:v>INR</x:v>
      </x:c>
      <x:c r="F5" s="54" t="n">
        <x:v>850</x:v>
      </x:c>
      <x:c r="G5" s="54" t="n">
        <x:v>0</x:v>
      </x:c>
      <x:c r="H5" s="54" t="n">
        <x:v>0</x:v>
      </x:c>
      <x:c r="I5" s="54" t="n">
        <x:v>850</x:v>
      </x:c>
      <x:c r="J5" s="54" t="n">
        <x:v>0</x:v>
      </x:c>
      <x:c r="K5" s="54" t="n">
        <x:v>850</x:v>
      </x:c>
      <x:c r="L5" s="54" t="str">
        <x:v>DRAFT</x:v>
      </x:c>
      <x:c r="M5" s="64" t="n">
        <x:v>46267.40833333333</x:v>
      </x:c>
      <x:c r="N5" s="55" t="b">
        <x:v>1</x:v>
      </x:c>
    </x:row>
    <x:row r="6" ht="28" customHeight="1">
      <x:c r="A6" s="54" t="str">
        <x:v>INV-ENC-HSP-001-005</x:v>
      </x:c>
      <x:c r="B6" s="54" t="str">
        <x:v>ENC-HSP-001-005</x:v>
      </x:c>
      <x:c r="C6" s="54" t="str">
        <x:v>INV-20260902-001-005</x:v>
      </x:c>
      <x:c r="D6" s="54" t="str">
        <x:v>GOVT_DEMO</x:v>
      </x:c>
      <x:c r="E6" s="54" t="str">
        <x:v>INR</x:v>
      </x:c>
      <x:c r="F6" s="54" t="n">
        <x:v>850</x:v>
      </x:c>
      <x:c r="G6" s="54" t="n">
        <x:v>0</x:v>
      </x:c>
      <x:c r="H6" s="54" t="n">
        <x:v>0</x:v>
      </x:c>
      <x:c r="I6" s="54" t="n">
        <x:v>850</x:v>
      </x:c>
      <x:c r="J6" s="54" t="n">
        <x:v>0</x:v>
      </x:c>
      <x:c r="K6" s="54" t="n">
        <x:v>850</x:v>
      </x:c>
      <x:c r="L6" s="54" t="str">
        <x:v>DRAFT</x:v>
      </x:c>
      <x:c r="M6" s="64" t="n">
        <x:v>46267.413194444445</x:v>
      </x:c>
      <x:c r="N6" s="55" t="b">
        <x:v>1</x:v>
      </x:c>
    </x:row>
    <x:row r="7" ht="28" customHeight="1">
      <x:c r="A7" s="54" t="str">
        <x:v>INV-ENC-HSP-001-006</x:v>
      </x:c>
      <x:c r="B7" s="54" t="str">
        <x:v>ENC-HSP-001-006</x:v>
      </x:c>
      <x:c r="C7" s="54" t="str">
        <x:v>INV-20260902-001-006</x:v>
      </x:c>
      <x:c r="D7" s="54" t="str">
        <x:v>SELF_PAY</x:v>
      </x:c>
      <x:c r="E7" s="54" t="str">
        <x:v>INR</x:v>
      </x:c>
      <x:c r="F7" s="54" t="n">
        <x:v>850</x:v>
      </x:c>
      <x:c r="G7" s="54" t="n">
        <x:v>0</x:v>
      </x:c>
      <x:c r="H7" s="54" t="n">
        <x:v>0</x:v>
      </x:c>
      <x:c r="I7" s="54" t="n">
        <x:v>850</x:v>
      </x:c>
      <x:c r="J7" s="54" t="n">
        <x:v>0</x:v>
      </x:c>
      <x:c r="K7" s="54" t="n">
        <x:v>850</x:v>
      </x:c>
      <x:c r="L7" s="54" t="str">
        <x:v>DRAFT</x:v>
      </x:c>
      <x:c r="M7" s="64" t="n">
        <x:v>46267.41805555556</x:v>
      </x:c>
      <x:c r="N7" s="55" t="b">
        <x:v>1</x:v>
      </x:c>
    </x:row>
    <x:row r="8" ht="28" customHeight="1">
      <x:c r="A8" s="54" t="str">
        <x:v>INV-ENC-HSP-001-007</x:v>
      </x:c>
      <x:c r="B8" s="54" t="str">
        <x:v>ENC-HSP-001-007</x:v>
      </x:c>
      <x:c r="C8" s="54" t="str">
        <x:v>INV-20260902-001-007</x:v>
      </x:c>
      <x:c r="D8" s="54" t="str">
        <x:v>DEMO_INSURANCE</x:v>
      </x:c>
      <x:c r="E8" s="54" t="str">
        <x:v>INR</x:v>
      </x:c>
      <x:c r="F8" s="54" t="n">
        <x:v>850</x:v>
      </x:c>
      <x:c r="G8" s="54" t="n">
        <x:v>0</x:v>
      </x:c>
      <x:c r="H8" s="54" t="n">
        <x:v>0</x:v>
      </x:c>
      <x:c r="I8" s="54" t="n">
        <x:v>850</x:v>
      </x:c>
      <x:c r="J8" s="54" t="n">
        <x:v>0</x:v>
      </x:c>
      <x:c r="K8" s="54" t="n">
        <x:v>850</x:v>
      </x:c>
      <x:c r="L8" s="54" t="str">
        <x:v>DRAFT</x:v>
      </x:c>
      <x:c r="M8" s="64" t="n">
        <x:v>46267.42291666667</x:v>
      </x:c>
      <x:c r="N8" s="55" t="b">
        <x:v>1</x:v>
      </x:c>
    </x:row>
    <x:row r="9" ht="28" customHeight="1">
      <x:c r="A9" s="54" t="str">
        <x:v>INV-ENC-HSP-001-008</x:v>
      </x:c>
      <x:c r="B9" s="54" t="str">
        <x:v>ENC-HSP-001-008</x:v>
      </x:c>
      <x:c r="C9" s="54" t="str">
        <x:v>INV-20260902-001-008</x:v>
      </x:c>
      <x:c r="D9" s="54" t="str">
        <x:v>GOVT_DEMO</x:v>
      </x:c>
      <x:c r="E9" s="54" t="str">
        <x:v>INR</x:v>
      </x:c>
      <x:c r="F9" s="54" t="n">
        <x:v>850</x:v>
      </x:c>
      <x:c r="G9" s="54" t="n">
        <x:v>0</x:v>
      </x:c>
      <x:c r="H9" s="54" t="n">
        <x:v>0</x:v>
      </x:c>
      <x:c r="I9" s="54" t="n">
        <x:v>850</x:v>
      </x:c>
      <x:c r="J9" s="54" t="n">
        <x:v>0</x:v>
      </x:c>
      <x:c r="K9" s="54" t="n">
        <x:v>850</x:v>
      </x:c>
      <x:c r="L9" s="54" t="str">
        <x:v>DRAFT</x:v>
      </x:c>
      <x:c r="M9" s="64" t="n">
        <x:v>46267.46944444445</x:v>
      </x:c>
      <x:c r="N9" s="55" t="b">
        <x:v>1</x:v>
      </x:c>
    </x:row>
    <x:row r="10" ht="28" customHeight="1">
      <x:c r="A10" s="54" t="str">
        <x:v>INV-ENC-HSP-001-009</x:v>
      </x:c>
      <x:c r="B10" s="54" t="str">
        <x:v>ENC-HSP-001-009</x:v>
      </x:c>
      <x:c r="C10" s="54" t="str">
        <x:v>INV-20260902-001-009</x:v>
      </x:c>
      <x:c r="D10" s="54" t="str">
        <x:v>SELF_PAY</x:v>
      </x:c>
      <x:c r="E10" s="54" t="str">
        <x:v>INR</x:v>
      </x:c>
      <x:c r="F10" s="54" t="n">
        <x:v>850</x:v>
      </x:c>
      <x:c r="G10" s="54" t="n">
        <x:v>0</x:v>
      </x:c>
      <x:c r="H10" s="54" t="n">
        <x:v>0</x:v>
      </x:c>
      <x:c r="I10" s="54" t="n">
        <x:v>850</x:v>
      </x:c>
      <x:c r="J10" s="54" t="n">
        <x:v>0</x:v>
      </x:c>
      <x:c r="K10" s="54" t="n">
        <x:v>850</x:v>
      </x:c>
      <x:c r="L10" s="54" t="str">
        <x:v>DRAFT</x:v>
      </x:c>
      <x:c r="M10" s="64" t="n">
        <x:v>46267.43263888889</x:v>
      </x:c>
      <x:c r="N10" s="55" t="b">
        <x:v>1</x:v>
      </x:c>
    </x:row>
    <x:row r="11" ht="28" customHeight="1">
      <x:c r="A11" s="54" t="str">
        <x:v>INV-ENC-HSP-001-010</x:v>
      </x:c>
      <x:c r="B11" s="54" t="str">
        <x:v>ENC-HSP-001-010</x:v>
      </x:c>
      <x:c r="C11" s="54" t="str">
        <x:v>INV-20260902-001-010</x:v>
      </x:c>
      <x:c r="D11" s="54" t="str">
        <x:v>DEMO_INSURANCE</x:v>
      </x:c>
      <x:c r="E11" s="54" t="str">
        <x:v>INR</x:v>
      </x:c>
      <x:c r="F11" s="54" t="n">
        <x:v>850</x:v>
      </x:c>
      <x:c r="G11" s="54" t="n">
        <x:v>0</x:v>
      </x:c>
      <x:c r="H11" s="54" t="n">
        <x:v>0</x:v>
      </x:c>
      <x:c r="I11" s="54" t="n">
        <x:v>850</x:v>
      </x:c>
      <x:c r="J11" s="54" t="n">
        <x:v>0</x:v>
      </x:c>
      <x:c r="K11" s="54" t="n">
        <x:v>850</x:v>
      </x:c>
      <x:c r="L11" s="54" t="str">
        <x:v>DRAFT</x:v>
      </x:c>
      <x:c r="M11" s="64" t="n">
        <x:v>46267.4375</x:v>
      </x:c>
      <x:c r="N11" s="55" t="b">
        <x:v>1</x:v>
      </x:c>
    </x:row>
    <x:row r="12" ht="28" customHeight="1">
      <x:c r="A12" s="54" t="str">
        <x:v>INV-ENC-HSP-002-001</x:v>
      </x:c>
      <x:c r="B12" s="54" t="str">
        <x:v>ENC-HSP-002-001</x:v>
      </x:c>
      <x:c r="C12" s="54" t="str">
        <x:v>INV-20260902-002-001</x:v>
      </x:c>
      <x:c r="D12" s="54" t="str">
        <x:v>GOVT_DEMO</x:v>
      </x:c>
      <x:c r="E12" s="54" t="str">
        <x:v>INR</x:v>
      </x:c>
      <x:c r="F12" s="54" t="n">
        <x:v>850</x:v>
      </x:c>
      <x:c r="G12" s="54" t="n">
        <x:v>0</x:v>
      </x:c>
      <x:c r="H12" s="54" t="n">
        <x:v>0</x:v>
      </x:c>
      <x:c r="I12" s="54" t="n">
        <x:v>850</x:v>
      </x:c>
      <x:c r="J12" s="54" t="n">
        <x:v>0</x:v>
      </x:c>
      <x:c r="K12" s="54" t="n">
        <x:v>850</x:v>
      </x:c>
      <x:c r="L12" s="54" t="str">
        <x:v>DRAFT</x:v>
      </x:c>
      <x:c r="M12" s="64" t="n">
        <x:v>46267.354166666664</x:v>
      </x:c>
      <x:c r="N12" s="55" t="b">
        <x:v>1</x:v>
      </x:c>
    </x:row>
    <x:row r="13" ht="28" customHeight="1">
      <x:c r="A13" s="54" t="str">
        <x:v>INV-ENC-HSP-002-002</x:v>
      </x:c>
      <x:c r="B13" s="54" t="str">
        <x:v>ENC-HSP-002-002</x:v>
      </x:c>
      <x:c r="C13" s="54" t="str">
        <x:v>INV-20260902-002-002</x:v>
      </x:c>
      <x:c r="D13" s="54" t="str">
        <x:v>SELF_PAY</x:v>
      </x:c>
      <x:c r="E13" s="54" t="str">
        <x:v>INR</x:v>
      </x:c>
      <x:c r="F13" s="54" t="n">
        <x:v>850</x:v>
      </x:c>
      <x:c r="G13" s="54" t="n">
        <x:v>0</x:v>
      </x:c>
      <x:c r="H13" s="54" t="n">
        <x:v>0</x:v>
      </x:c>
      <x:c r="I13" s="54" t="n">
        <x:v>850</x:v>
      </x:c>
      <x:c r="J13" s="54" t="n">
        <x:v>0</x:v>
      </x:c>
      <x:c r="K13" s="54" t="n">
        <x:v>850</x:v>
      </x:c>
      <x:c r="L13" s="54" t="str">
        <x:v>DRAFT</x:v>
      </x:c>
      <x:c r="M13" s="64" t="n">
        <x:v>46267.35902777778</x:v>
      </x:c>
      <x:c r="N13" s="55" t="b">
        <x:v>1</x:v>
      </x:c>
    </x:row>
    <x:row r="14" ht="28" customHeight="1">
      <x:c r="A14" s="54" t="str">
        <x:v>INV-ENC-HSP-002-003</x:v>
      </x:c>
      <x:c r="B14" s="54" t="str">
        <x:v>ENC-HSP-002-003</x:v>
      </x:c>
      <x:c r="C14" s="54" t="str">
        <x:v>INV-20260902-002-003</x:v>
      </x:c>
      <x:c r="D14" s="54" t="str">
        <x:v>DEMO_INSURANCE</x:v>
      </x:c>
      <x:c r="E14" s="54" t="str">
        <x:v>INR</x:v>
      </x:c>
      <x:c r="F14" s="54" t="n">
        <x:v>850</x:v>
      </x:c>
      <x:c r="G14" s="54" t="n">
        <x:v>0</x:v>
      </x:c>
      <x:c r="H14" s="54" t="n">
        <x:v>0</x:v>
      </x:c>
      <x:c r="I14" s="54" t="n">
        <x:v>850</x:v>
      </x:c>
      <x:c r="J14" s="54" t="n">
        <x:v>0</x:v>
      </x:c>
      <x:c r="K14" s="54" t="n">
        <x:v>850</x:v>
      </x:c>
      <x:c r="L14" s="54" t="str">
        <x:v>DRAFT</x:v>
      </x:c>
      <x:c r="M14" s="64" t="n">
        <x:v>46267.36388888889</x:v>
      </x:c>
      <x:c r="N14" s="55" t="b">
        <x:v>1</x:v>
      </x:c>
    </x:row>
    <x:row r="15" ht="28" customHeight="1">
      <x:c r="A15" s="54" t="str">
        <x:v>INV-ENC-HSP-002-004</x:v>
      </x:c>
      <x:c r="B15" s="54" t="str">
        <x:v>ENC-HSP-002-004</x:v>
      </x:c>
      <x:c r="C15" s="54" t="str">
        <x:v>INV-20260902-002-004</x:v>
      </x:c>
      <x:c r="D15" s="54" t="str">
        <x:v>GOVT_DEMO</x:v>
      </x:c>
      <x:c r="E15" s="54" t="str">
        <x:v>INR</x:v>
      </x:c>
      <x:c r="F15" s="54" t="n">
        <x:v>850</x:v>
      </x:c>
      <x:c r="G15" s="54" t="n">
        <x:v>0</x:v>
      </x:c>
      <x:c r="H15" s="54" t="n">
        <x:v>0</x:v>
      </x:c>
      <x:c r="I15" s="54" t="n">
        <x:v>850</x:v>
      </x:c>
      <x:c r="J15" s="54" t="n">
        <x:v>0</x:v>
      </x:c>
      <x:c r="K15" s="54" t="n">
        <x:v>850</x:v>
      </x:c>
      <x:c r="L15" s="54" t="str">
        <x:v>DRAFT</x:v>
      </x:c>
      <x:c r="M15" s="64" t="n">
        <x:v>46267.410416666666</x:v>
      </x:c>
      <x:c r="N15" s="55" t="b">
        <x:v>1</x:v>
      </x:c>
    </x:row>
    <x:row r="16" ht="28" customHeight="1">
      <x:c r="A16" s="54" t="str">
        <x:v>INV-ENC-HSP-002-005</x:v>
      </x:c>
      <x:c r="B16" s="54" t="str">
        <x:v>ENC-HSP-002-005</x:v>
      </x:c>
      <x:c r="C16" s="54" t="str">
        <x:v>INV-20260902-002-005</x:v>
      </x:c>
      <x:c r="D16" s="54" t="str">
        <x:v>SELF_PAY</x:v>
      </x:c>
      <x:c r="E16" s="54" t="str">
        <x:v>INR</x:v>
      </x:c>
      <x:c r="F16" s="54" t="n">
        <x:v>750</x:v>
      </x:c>
      <x:c r="G16" s="54" t="n">
        <x:v>0</x:v>
      </x:c>
      <x:c r="H16" s="54" t="n">
        <x:v>0</x:v>
      </x:c>
      <x:c r="I16" s="54" t="n">
        <x:v>750</x:v>
      </x:c>
      <x:c r="J16" s="54" t="n">
        <x:v>0</x:v>
      </x:c>
      <x:c r="K16" s="54" t="n">
        <x:v>750</x:v>
      </x:c>
      <x:c r="L16" s="54" t="str">
        <x:v>DRAFT</x:v>
      </x:c>
      <x:c r="M16" s="64" t="n">
        <x:v>46267.41527777778</x:v>
      </x:c>
      <x:c r="N16" s="55" t="b">
        <x:v>1</x:v>
      </x:c>
    </x:row>
    <x:row r="17" ht="28" customHeight="1">
      <x:c r="A17" s="54" t="str">
        <x:v>INV-ENC-HSP-002-006</x:v>
      </x:c>
      <x:c r="B17" s="54" t="str">
        <x:v>ENC-HSP-002-006</x:v>
      </x:c>
      <x:c r="C17" s="54" t="str">
        <x:v>INV-20260902-002-006</x:v>
      </x:c>
      <x:c r="D17" s="54" t="str">
        <x:v>DEMO_INSURANCE</x:v>
      </x:c>
      <x:c r="E17" s="54" t="str">
        <x:v>INR</x:v>
      </x:c>
      <x:c r="F17" s="54" t="n">
        <x:v>750</x:v>
      </x:c>
      <x:c r="G17" s="54" t="n">
        <x:v>0</x:v>
      </x:c>
      <x:c r="H17" s="54" t="n">
        <x:v>0</x:v>
      </x:c>
      <x:c r="I17" s="54" t="n">
        <x:v>750</x:v>
      </x:c>
      <x:c r="J17" s="54" t="n">
        <x:v>0</x:v>
      </x:c>
      <x:c r="K17" s="54" t="n">
        <x:v>750</x:v>
      </x:c>
      <x:c r="L17" s="54" t="str">
        <x:v>DRAFT</x:v>
      </x:c>
      <x:c r="M17" s="64" t="n">
        <x:v>46267.42013888889</x:v>
      </x:c>
      <x:c r="N17" s="55" t="b">
        <x:v>1</x:v>
      </x:c>
    </x:row>
    <x:row r="18" ht="28" customHeight="1">
      <x:c r="A18" s="54" t="str">
        <x:v>INV-ENC-HSP-002-007</x:v>
      </x:c>
      <x:c r="B18" s="54" t="str">
        <x:v>ENC-HSP-002-007</x:v>
      </x:c>
      <x:c r="C18" s="54" t="str">
        <x:v>INV-20260902-002-007</x:v>
      </x:c>
      <x:c r="D18" s="54" t="str">
        <x:v>GOVT_DEMO</x:v>
      </x:c>
      <x:c r="E18" s="54" t="str">
        <x:v>INR</x:v>
      </x:c>
      <x:c r="F18" s="54" t="n">
        <x:v>750</x:v>
      </x:c>
      <x:c r="G18" s="54" t="n">
        <x:v>0</x:v>
      </x:c>
      <x:c r="H18" s="54" t="n">
        <x:v>0</x:v>
      </x:c>
      <x:c r="I18" s="54" t="n">
        <x:v>750</x:v>
      </x:c>
      <x:c r="J18" s="54" t="n">
        <x:v>0</x:v>
      </x:c>
      <x:c r="K18" s="54" t="n">
        <x:v>750</x:v>
      </x:c>
      <x:c r="L18" s="54" t="str">
        <x:v>DRAFT</x:v>
      </x:c>
      <x:c r="M18" s="64" t="n">
        <x:v>46267.425</x:v>
      </x:c>
      <x:c r="N18" s="55" t="b">
        <x:v>1</x:v>
      </x:c>
    </x:row>
    <x:row r="19" ht="28" customHeight="1">
      <x:c r="A19" s="54" t="str">
        <x:v>INV-ENC-HSP-002-008</x:v>
      </x:c>
      <x:c r="B19" s="54" t="str">
        <x:v>ENC-HSP-002-008</x:v>
      </x:c>
      <x:c r="C19" s="54" t="str">
        <x:v>INV-20260902-002-008</x:v>
      </x:c>
      <x:c r="D19" s="54" t="str">
        <x:v>SELF_PAY</x:v>
      </x:c>
      <x:c r="E19" s="54" t="str">
        <x:v>INR</x:v>
      </x:c>
      <x:c r="F19" s="54" t="n">
        <x:v>750</x:v>
      </x:c>
      <x:c r="G19" s="54" t="n">
        <x:v>0</x:v>
      </x:c>
      <x:c r="H19" s="54" t="n">
        <x:v>0</x:v>
      </x:c>
      <x:c r="I19" s="54" t="n">
        <x:v>750</x:v>
      </x:c>
      <x:c r="J19" s="54" t="n">
        <x:v>0</x:v>
      </x:c>
      <x:c r="K19" s="54" t="n">
        <x:v>750</x:v>
      </x:c>
      <x:c r="L19" s="54" t="str">
        <x:v>DRAFT</x:v>
      </x:c>
      <x:c r="M19" s="64" t="n">
        <x:v>46267.47152777778</x:v>
      </x:c>
      <x:c r="N19" s="55" t="b">
        <x:v>1</x:v>
      </x:c>
    </x:row>
    <x:row r="20" ht="28" customHeight="1">
      <x:c r="A20" s="54" t="str">
        <x:v>INV-ENC-HSP-002-009</x:v>
      </x:c>
      <x:c r="B20" s="54" t="str">
        <x:v>ENC-HSP-002-009</x:v>
      </x:c>
      <x:c r="C20" s="54" t="str">
        <x:v>INV-20260902-002-009</x:v>
      </x:c>
      <x:c r="D20" s="54" t="str">
        <x:v>DEMO_INSURANCE</x:v>
      </x:c>
      <x:c r="E20" s="54" t="str">
        <x:v>INR</x:v>
      </x:c>
      <x:c r="F20" s="54" t="n">
        <x:v>750</x:v>
      </x:c>
      <x:c r="G20" s="54" t="n">
        <x:v>0</x:v>
      </x:c>
      <x:c r="H20" s="54" t="n">
        <x:v>0</x:v>
      </x:c>
      <x:c r="I20" s="54" t="n">
        <x:v>750</x:v>
      </x:c>
      <x:c r="J20" s="54" t="n">
        <x:v>0</x:v>
      </x:c>
      <x:c r="K20" s="54" t="n">
        <x:v>750</x:v>
      </x:c>
      <x:c r="L20" s="54" t="str">
        <x:v>DRAFT</x:v>
      </x:c>
      <x:c r="M20" s="64" t="n">
        <x:v>46267.43472222222</x:v>
      </x:c>
      <x:c r="N20" s="55" t="b">
        <x:v>1</x:v>
      </x:c>
    </x:row>
    <x:row r="21" ht="28" customHeight="1">
      <x:c r="A21" s="54" t="str">
        <x:v>INV-ENC-HSP-002-010</x:v>
      </x:c>
      <x:c r="B21" s="54" t="str">
        <x:v>ENC-HSP-002-010</x:v>
      </x:c>
      <x:c r="C21" s="54" t="str">
        <x:v>INV-20260902-002-010</x:v>
      </x:c>
      <x:c r="D21" s="54" t="str">
        <x:v>GOVT_DEMO</x:v>
      </x:c>
      <x:c r="E21" s="54" t="str">
        <x:v>INR</x:v>
      </x:c>
      <x:c r="F21" s="54" t="n">
        <x:v>750</x:v>
      </x:c>
      <x:c r="G21" s="54" t="n">
        <x:v>0</x:v>
      </x:c>
      <x:c r="H21" s="54" t="n">
        <x:v>0</x:v>
      </x:c>
      <x:c r="I21" s="54" t="n">
        <x:v>750</x:v>
      </x:c>
      <x:c r="J21" s="54" t="n">
        <x:v>0</x:v>
      </x:c>
      <x:c r="K21" s="54" t="n">
        <x:v>750</x:v>
      </x:c>
      <x:c r="L21" s="54" t="str">
        <x:v>DRAFT</x:v>
      </x:c>
      <x:c r="M21" s="64" t="n">
        <x:v>46267.43958333333</x:v>
      </x:c>
      <x:c r="N21" s="55" t="b">
        <x:v>1</x:v>
      </x:c>
    </x:row>
    <x:row r="22" ht="28" customHeight="1">
      <x:c r="A22" s="54" t="str">
        <x:v>INV-ENC-HSP-003-001</x:v>
      </x:c>
      <x:c r="B22" s="54" t="str">
        <x:v>ENC-HSP-003-001</x:v>
      </x:c>
      <x:c r="C22" s="54" t="str">
        <x:v>INV-20260902-003-001</x:v>
      </x:c>
      <x:c r="D22" s="54" t="str">
        <x:v>SELF_PAY</x:v>
      </x:c>
      <x:c r="E22" s="54" t="str">
        <x:v>INR</x:v>
      </x:c>
      <x:c r="F22" s="54" t="n">
        <x:v>450</x:v>
      </x:c>
      <x:c r="G22" s="54" t="n">
        <x:v>0</x:v>
      </x:c>
      <x:c r="H22" s="54" t="n">
        <x:v>0</x:v>
      </x:c>
      <x:c r="I22" s="54" t="n">
        <x:v>450</x:v>
      </x:c>
      <x:c r="J22" s="54" t="n">
        <x:v>0</x:v>
      </x:c>
      <x:c r="K22" s="54" t="n">
        <x:v>450</x:v>
      </x:c>
      <x:c r="L22" s="54" t="str">
        <x:v>DRAFT</x:v>
      </x:c>
      <x:c r="M22" s="64" t="n">
        <x:v>46267.35625</x:v>
      </x:c>
      <x:c r="N22" s="55" t="b">
        <x:v>1</x:v>
      </x:c>
    </x:row>
    <x:row r="23" ht="28" customHeight="1">
      <x:c r="A23" s="54" t="str">
        <x:v>INV-ENC-HSP-003-002</x:v>
      </x:c>
      <x:c r="B23" s="54" t="str">
        <x:v>ENC-HSP-003-002</x:v>
      </x:c>
      <x:c r="C23" s="54" t="str">
        <x:v>INV-20260902-003-002</x:v>
      </x:c>
      <x:c r="D23" s="54" t="str">
        <x:v>DEMO_INSURANCE</x:v>
      </x:c>
      <x:c r="E23" s="54" t="str">
        <x:v>INR</x:v>
      </x:c>
      <x:c r="F23" s="54" t="n">
        <x:v>450</x:v>
      </x:c>
      <x:c r="G23" s="54" t="n">
        <x:v>0</x:v>
      </x:c>
      <x:c r="H23" s="54" t="n">
        <x:v>0</x:v>
      </x:c>
      <x:c r="I23" s="54" t="n">
        <x:v>450</x:v>
      </x:c>
      <x:c r="J23" s="54" t="n">
        <x:v>0</x:v>
      </x:c>
      <x:c r="K23" s="54" t="n">
        <x:v>450</x:v>
      </x:c>
      <x:c r="L23" s="54" t="str">
        <x:v>DRAFT</x:v>
      </x:c>
      <x:c r="M23" s="64" t="n">
        <x:v>46267.36111111111</x:v>
      </x:c>
      <x:c r="N23" s="55" t="b">
        <x:v>1</x:v>
      </x:c>
    </x:row>
    <x:row r="24" ht="28" customHeight="1">
      <x:c r="A24" s="54" t="str">
        <x:v>INV-ENC-HSP-003-003</x:v>
      </x:c>
      <x:c r="B24" s="54" t="str">
        <x:v>ENC-HSP-003-003</x:v>
      </x:c>
      <x:c r="C24" s="54" t="str">
        <x:v>INV-20260902-003-003</x:v>
      </x:c>
      <x:c r="D24" s="54" t="str">
        <x:v>GOVT_DEMO</x:v>
      </x:c>
      <x:c r="E24" s="54" t="str">
        <x:v>INR</x:v>
      </x:c>
      <x:c r="F24" s="54" t="n">
        <x:v>450</x:v>
      </x:c>
      <x:c r="G24" s="54" t="n">
        <x:v>0</x:v>
      </x:c>
      <x:c r="H24" s="54" t="n">
        <x:v>0</x:v>
      </x:c>
      <x:c r="I24" s="54" t="n">
        <x:v>450</x:v>
      </x:c>
      <x:c r="J24" s="54" t="n">
        <x:v>0</x:v>
      </x:c>
      <x:c r="K24" s="54" t="n">
        <x:v>450</x:v>
      </x:c>
      <x:c r="L24" s="54" t="str">
        <x:v>DRAFT</x:v>
      </x:c>
      <x:c r="M24" s="64" t="n">
        <x:v>46267.36597222222</x:v>
      </x:c>
      <x:c r="N24" s="55" t="b">
        <x:v>1</x:v>
      </x:c>
    </x:row>
    <x:row r="25" ht="28" customHeight="1">
      <x:c r="A25" s="54" t="str">
        <x:v>INV-ENC-HSP-003-004</x:v>
      </x:c>
      <x:c r="B25" s="54" t="str">
        <x:v>ENC-HSP-003-004</x:v>
      </x:c>
      <x:c r="C25" s="54" t="str">
        <x:v>INV-20260902-003-004</x:v>
      </x:c>
      <x:c r="D25" s="54" t="str">
        <x:v>SELF_PAY</x:v>
      </x:c>
      <x:c r="E25" s="54" t="str">
        <x:v>INR</x:v>
      </x:c>
      <x:c r="F25" s="54" t="n">
        <x:v>450</x:v>
      </x:c>
      <x:c r="G25" s="54" t="n">
        <x:v>0</x:v>
      </x:c>
      <x:c r="H25" s="54" t="n">
        <x:v>0</x:v>
      </x:c>
      <x:c r="I25" s="54" t="n">
        <x:v>450</x:v>
      </x:c>
      <x:c r="J25" s="54" t="n">
        <x:v>0</x:v>
      </x:c>
      <x:c r="K25" s="54" t="n">
        <x:v>450</x:v>
      </x:c>
      <x:c r="L25" s="54" t="str">
        <x:v>DRAFT</x:v>
      </x:c>
      <x:c r="M25" s="64" t="n">
        <x:v>46267.4125</x:v>
      </x:c>
      <x:c r="N25" s="55" t="b">
        <x:v>1</x:v>
      </x:c>
    </x:row>
    <x:row r="26" ht="28" customHeight="1">
      <x:c r="A26" s="54" t="str">
        <x:v>INV-ENC-HSP-003-005</x:v>
      </x:c>
      <x:c r="B26" s="54" t="str">
        <x:v>ENC-HSP-003-005</x:v>
      </x:c>
      <x:c r="C26" s="54" t="str">
        <x:v>INV-20260902-003-005</x:v>
      </x:c>
      <x:c r="D26" s="54" t="str">
        <x:v>DEMO_INSURANCE</x:v>
      </x:c>
      <x:c r="E26" s="54" t="str">
        <x:v>INR</x:v>
      </x:c>
      <x:c r="F26" s="54" t="n">
        <x:v>450</x:v>
      </x:c>
      <x:c r="G26" s="54" t="n">
        <x:v>0</x:v>
      </x:c>
      <x:c r="H26" s="54" t="n">
        <x:v>0</x:v>
      </x:c>
      <x:c r="I26" s="54" t="n">
        <x:v>450</x:v>
      </x:c>
      <x:c r="J26" s="54" t="n">
        <x:v>0</x:v>
      </x:c>
      <x:c r="K26" s="54" t="n">
        <x:v>450</x:v>
      </x:c>
      <x:c r="L26" s="54" t="str">
        <x:v>DRAFT</x:v>
      </x:c>
      <x:c r="M26" s="64" t="n">
        <x:v>46267.41736111111</x:v>
      </x:c>
      <x:c r="N26" s="55" t="b">
        <x:v>1</x:v>
      </x:c>
    </x:row>
    <x:row r="27" ht="28" customHeight="1">
      <x:c r="A27" s="54" t="str">
        <x:v>INV-ENC-HSP-003-006</x:v>
      </x:c>
      <x:c r="B27" s="54" t="str">
        <x:v>ENC-HSP-003-006</x:v>
      </x:c>
      <x:c r="C27" s="54" t="str">
        <x:v>INV-20260902-003-006</x:v>
      </x:c>
      <x:c r="D27" s="54" t="str">
        <x:v>GOVT_DEMO</x:v>
      </x:c>
      <x:c r="E27" s="54" t="str">
        <x:v>INR</x:v>
      </x:c>
      <x:c r="F27" s="54" t="n">
        <x:v>450</x:v>
      </x:c>
      <x:c r="G27" s="54" t="n">
        <x:v>0</x:v>
      </x:c>
      <x:c r="H27" s="54" t="n">
        <x:v>0</x:v>
      </x:c>
      <x:c r="I27" s="54" t="n">
        <x:v>450</x:v>
      </x:c>
      <x:c r="J27" s="54" t="n">
        <x:v>0</x:v>
      </x:c>
      <x:c r="K27" s="54" t="n">
        <x:v>450</x:v>
      </x:c>
      <x:c r="L27" s="54" t="str">
        <x:v>DRAFT</x:v>
      </x:c>
      <x:c r="M27" s="64" t="n">
        <x:v>46267.42222222222</x:v>
      </x:c>
      <x:c r="N27" s="55" t="b">
        <x:v>1</x:v>
      </x:c>
    </x:row>
    <x:row r="28" ht="28" customHeight="1">
      <x:c r="A28" s="54" t="str">
        <x:v>INV-ENC-HSP-003-007</x:v>
      </x:c>
      <x:c r="B28" s="54" t="str">
        <x:v>ENC-HSP-003-007</x:v>
      </x:c>
      <x:c r="C28" s="54" t="str">
        <x:v>INV-20260902-003-007</x:v>
      </x:c>
      <x:c r="D28" s="54" t="str">
        <x:v>SELF_PAY</x:v>
      </x:c>
      <x:c r="E28" s="54" t="str">
        <x:v>INR</x:v>
      </x:c>
      <x:c r="F28" s="54" t="n">
        <x:v>450</x:v>
      </x:c>
      <x:c r="G28" s="54" t="n">
        <x:v>0</x:v>
      </x:c>
      <x:c r="H28" s="54" t="n">
        <x:v>0</x:v>
      </x:c>
      <x:c r="I28" s="54" t="n">
        <x:v>450</x:v>
      </x:c>
      <x:c r="J28" s="54" t="n">
        <x:v>0</x:v>
      </x:c>
      <x:c r="K28" s="54" t="n">
        <x:v>450</x:v>
      </x:c>
      <x:c r="L28" s="54" t="str">
        <x:v>DRAFT</x:v>
      </x:c>
      <x:c r="M28" s="64" t="n">
        <x:v>46267.427083333336</x:v>
      </x:c>
      <x:c r="N28" s="55" t="b">
        <x:v>1</x:v>
      </x:c>
    </x:row>
    <x:row r="29" ht="28" customHeight="1">
      <x:c r="A29" s="54" t="str">
        <x:v>INV-ENC-HSP-003-008</x:v>
      </x:c>
      <x:c r="B29" s="54" t="str">
        <x:v>ENC-HSP-003-008</x:v>
      </x:c>
      <x:c r="C29" s="54" t="str">
        <x:v>INV-20260902-003-008</x:v>
      </x:c>
      <x:c r="D29" s="54" t="str">
        <x:v>DEMO_INSURANCE</x:v>
      </x:c>
      <x:c r="E29" s="54" t="str">
        <x:v>INR</x:v>
      </x:c>
      <x:c r="F29" s="54" t="n">
        <x:v>450</x:v>
      </x:c>
      <x:c r="G29" s="54" t="n">
        <x:v>0</x:v>
      </x:c>
      <x:c r="H29" s="54" t="n">
        <x:v>0</x:v>
      </x:c>
      <x:c r="I29" s="54" t="n">
        <x:v>450</x:v>
      </x:c>
      <x:c r="J29" s="54" t="n">
        <x:v>0</x:v>
      </x:c>
      <x:c r="K29" s="54" t="n">
        <x:v>450</x:v>
      </x:c>
      <x:c r="L29" s="54" t="str">
        <x:v>DRAFT</x:v>
      </x:c>
      <x:c r="M29" s="64" t="n">
        <x:v>46267.43194444444</x:v>
      </x:c>
      <x:c r="N29" s="55" t="b">
        <x:v>1</x:v>
      </x:c>
    </x:row>
    <x:row r="30" ht="28" customHeight="1">
      <x:c r="A30" s="54" t="str">
        <x:v>INV-ENC-HSP-003-009</x:v>
      </x:c>
      <x:c r="B30" s="54" t="str">
        <x:v>ENC-HSP-003-009</x:v>
      </x:c>
      <x:c r="C30" s="54" t="str">
        <x:v>INV-20260902-003-009</x:v>
      </x:c>
      <x:c r="D30" s="54" t="str">
        <x:v>GOVT_DEMO</x:v>
      </x:c>
      <x:c r="E30" s="54" t="str">
        <x:v>INR</x:v>
      </x:c>
      <x:c r="F30" s="54" t="n">
        <x:v>450</x:v>
      </x:c>
      <x:c r="G30" s="54" t="n">
        <x:v>0</x:v>
      </x:c>
      <x:c r="H30" s="54" t="n">
        <x:v>0</x:v>
      </x:c>
      <x:c r="I30" s="54" t="n">
        <x:v>450</x:v>
      </x:c>
      <x:c r="J30" s="54" t="n">
        <x:v>0</x:v>
      </x:c>
      <x:c r="K30" s="54" t="n">
        <x:v>450</x:v>
      </x:c>
      <x:c r="L30" s="54" t="str">
        <x:v>DRAFT</x:v>
      </x:c>
      <x:c r="M30" s="64" t="n">
        <x:v>46267.43680555555</x:v>
      </x:c>
      <x:c r="N30" s="55" t="b">
        <x:v>1</x:v>
      </x:c>
    </x:row>
    <x:row r="31" ht="28" customHeight="1">
      <x:c r="A31" s="54" t="str">
        <x:v>INV-ENC-HSP-003-010</x:v>
      </x:c>
      <x:c r="B31" s="54" t="str">
        <x:v>ENC-HSP-003-010</x:v>
      </x:c>
      <x:c r="C31" s="54" t="str">
        <x:v>INV-20260902-003-010</x:v>
      </x:c>
      <x:c r="D31" s="54" t="str">
        <x:v>SELF_PAY</x:v>
      </x:c>
      <x:c r="E31" s="54" t="str">
        <x:v>INR</x:v>
      </x:c>
      <x:c r="F31" s="54" t="n">
        <x:v>450</x:v>
      </x:c>
      <x:c r="G31" s="54" t="n">
        <x:v>0</x:v>
      </x:c>
      <x:c r="H31" s="54" t="n">
        <x:v>0</x:v>
      </x:c>
      <x:c r="I31" s="54" t="n">
        <x:v>450</x:v>
      </x:c>
      <x:c r="J31" s="54" t="n">
        <x:v>0</x:v>
      </x:c>
      <x:c r="K31" s="54" t="n">
        <x:v>450</x:v>
      </x:c>
      <x:c r="L31" s="54" t="str">
        <x:v>DRAFT</x:v>
      </x:c>
      <x:c r="M31" s="64" t="n">
        <x:v>46267.441666666666</x:v>
      </x:c>
      <x:c r="N31" s="55" t="b">
        <x:v>1</x:v>
      </x:c>
    </x:row>
    <x:row r="32" ht="28" customHeight="1">
      <x:c r="A32" s="54" t="str">
        <x:v>INV-ENC-HSP-004-001</x:v>
      </x:c>
      <x:c r="B32" s="54" t="str">
        <x:v>ENC-HSP-004-001</x:v>
      </x:c>
      <x:c r="C32" s="54" t="str">
        <x:v>INV-20260902-004-001</x:v>
      </x:c>
      <x:c r="D32" s="54" t="str">
        <x:v>DEMO_INSURANCE</x:v>
      </x:c>
      <x:c r="E32" s="54" t="str">
        <x:v>INR</x:v>
      </x:c>
      <x:c r="F32" s="54" t="n">
        <x:v>450</x:v>
      </x:c>
      <x:c r="G32" s="54" t="n">
        <x:v>0</x:v>
      </x:c>
      <x:c r="H32" s="54" t="n">
        <x:v>0</x:v>
      </x:c>
      <x:c r="I32" s="54" t="n">
        <x:v>450</x:v>
      </x:c>
      <x:c r="J32" s="54" t="n">
        <x:v>0</x:v>
      </x:c>
      <x:c r="K32" s="54" t="n">
        <x:v>450</x:v>
      </x:c>
      <x:c r="L32" s="54" t="str">
        <x:v>DRAFT</x:v>
      </x:c>
      <x:c r="M32" s="64" t="n">
        <x:v>46267.35833333333</x:v>
      </x:c>
      <x:c r="N32" s="55" t="b">
        <x:v>1</x:v>
      </x:c>
    </x:row>
    <x:row r="33" ht="28" customHeight="1">
      <x:c r="A33" s="54" t="str">
        <x:v>INV-ENC-HSP-004-002</x:v>
      </x:c>
      <x:c r="B33" s="54" t="str">
        <x:v>ENC-HSP-004-002</x:v>
      </x:c>
      <x:c r="C33" s="54" t="str">
        <x:v>INV-20260902-004-002</x:v>
      </x:c>
      <x:c r="D33" s="54" t="str">
        <x:v>GOVT_DEMO</x:v>
      </x:c>
      <x:c r="E33" s="54" t="str">
        <x:v>INR</x:v>
      </x:c>
      <x:c r="F33" s="54" t="n">
        <x:v>450</x:v>
      </x:c>
      <x:c r="G33" s="54" t="n">
        <x:v>0</x:v>
      </x:c>
      <x:c r="H33" s="54" t="n">
        <x:v>0</x:v>
      </x:c>
      <x:c r="I33" s="54" t="n">
        <x:v>450</x:v>
      </x:c>
      <x:c r="J33" s="54" t="n">
        <x:v>0</x:v>
      </x:c>
      <x:c r="K33" s="54" t="n">
        <x:v>450</x:v>
      </x:c>
      <x:c r="L33" s="54" t="str">
        <x:v>DRAFT</x:v>
      </x:c>
      <x:c r="M33" s="64" t="n">
        <x:v>46267.36319444444</x:v>
      </x:c>
      <x:c r="N33" s="55" t="b">
        <x:v>1</x:v>
      </x:c>
    </x:row>
    <x:row r="34" ht="28" customHeight="1">
      <x:c r="A34" s="54" t="str">
        <x:v>INV-ENC-HSP-004-003</x:v>
      </x:c>
      <x:c r="B34" s="54" t="str">
        <x:v>ENC-HSP-004-003</x:v>
      </x:c>
      <x:c r="C34" s="54" t="str">
        <x:v>INV-20260902-004-003</x:v>
      </x:c>
      <x:c r="D34" s="54" t="str">
        <x:v>SELF_PAY</x:v>
      </x:c>
      <x:c r="E34" s="54" t="str">
        <x:v>INR</x:v>
      </x:c>
      <x:c r="F34" s="54" t="n">
        <x:v>450</x:v>
      </x:c>
      <x:c r="G34" s="54" t="n">
        <x:v>0</x:v>
      </x:c>
      <x:c r="H34" s="54" t="n">
        <x:v>0</x:v>
      </x:c>
      <x:c r="I34" s="54" t="n">
        <x:v>450</x:v>
      </x:c>
      <x:c r="J34" s="54" t="n">
        <x:v>0</x:v>
      </x:c>
      <x:c r="K34" s="54" t="n">
        <x:v>450</x:v>
      </x:c>
      <x:c r="L34" s="54" t="str">
        <x:v>DRAFT</x:v>
      </x:c>
      <x:c r="M34" s="64" t="n">
        <x:v>46267.368055555555</x:v>
      </x:c>
      <x:c r="N34" s="55" t="b">
        <x:v>1</x:v>
      </x:c>
    </x:row>
    <x:row r="35" ht="28" customHeight="1">
      <x:c r="A35" s="54" t="str">
        <x:v>INV-ENC-HSP-004-004</x:v>
      </x:c>
      <x:c r="B35" s="54" t="str">
        <x:v>ENC-HSP-004-004</x:v>
      </x:c>
      <x:c r="C35" s="54" t="str">
        <x:v>INV-20260902-004-004</x:v>
      </x:c>
      <x:c r="D35" s="54" t="str">
        <x:v>DEMO_INSURANCE</x:v>
      </x:c>
      <x:c r="E35" s="54" t="str">
        <x:v>INR</x:v>
      </x:c>
      <x:c r="F35" s="54" t="n">
        <x:v>450</x:v>
      </x:c>
      <x:c r="G35" s="54" t="n">
        <x:v>0</x:v>
      </x:c>
      <x:c r="H35" s="54" t="n">
        <x:v>0</x:v>
      </x:c>
      <x:c r="I35" s="54" t="n">
        <x:v>450</x:v>
      </x:c>
      <x:c r="J35" s="54" t="n">
        <x:v>0</x:v>
      </x:c>
      <x:c r="K35" s="54" t="n">
        <x:v>450</x:v>
      </x:c>
      <x:c r="L35" s="54" t="str">
        <x:v>DRAFT</x:v>
      </x:c>
      <x:c r="M35" s="64" t="n">
        <x:v>46267.41458333333</x:v>
      </x:c>
      <x:c r="N35" s="55" t="b">
        <x:v>1</x:v>
      </x:c>
    </x:row>
    <x:row r="36" ht="28" customHeight="1">
      <x:c r="A36" s="54" t="str">
        <x:v>INV-ENC-HSP-004-005</x:v>
      </x:c>
      <x:c r="B36" s="54" t="str">
        <x:v>ENC-HSP-004-005</x:v>
      </x:c>
      <x:c r="C36" s="54" t="str">
        <x:v>INV-20260902-004-005</x:v>
      </x:c>
      <x:c r="D36" s="54" t="str">
        <x:v>GOVT_DEMO</x:v>
      </x:c>
      <x:c r="E36" s="54" t="str">
        <x:v>INR</x:v>
      </x:c>
      <x:c r="F36" s="54" t="n">
        <x:v>450</x:v>
      </x:c>
      <x:c r="G36" s="54" t="n">
        <x:v>0</x:v>
      </x:c>
      <x:c r="H36" s="54" t="n">
        <x:v>0</x:v>
      </x:c>
      <x:c r="I36" s="54" t="n">
        <x:v>450</x:v>
      </x:c>
      <x:c r="J36" s="54" t="n">
        <x:v>0</x:v>
      </x:c>
      <x:c r="K36" s="54" t="n">
        <x:v>450</x:v>
      </x:c>
      <x:c r="L36" s="54" t="str">
        <x:v>DRAFT</x:v>
      </x:c>
      <x:c r="M36" s="64" t="n">
        <x:v>46267.419444444444</x:v>
      </x:c>
      <x:c r="N36" s="55" t="b">
        <x:v>1</x:v>
      </x:c>
    </x:row>
    <x:row r="37" ht="28" customHeight="1">
      <x:c r="A37" s="54" t="str">
        <x:v>INV-ENC-HSP-004-006</x:v>
      </x:c>
      <x:c r="B37" s="54" t="str">
        <x:v>ENC-HSP-004-006</x:v>
      </x:c>
      <x:c r="C37" s="54" t="str">
        <x:v>INV-20260902-004-006</x:v>
      </x:c>
      <x:c r="D37" s="54" t="str">
        <x:v>SELF_PAY</x:v>
      </x:c>
      <x:c r="E37" s="54" t="str">
        <x:v>INR</x:v>
      </x:c>
      <x:c r="F37" s="54" t="n">
        <x:v>550</x:v>
      </x:c>
      <x:c r="G37" s="54" t="n">
        <x:v>0</x:v>
      </x:c>
      <x:c r="H37" s="54" t="n">
        <x:v>0</x:v>
      </x:c>
      <x:c r="I37" s="54" t="n">
        <x:v>550</x:v>
      </x:c>
      <x:c r="J37" s="54" t="n">
        <x:v>0</x:v>
      </x:c>
      <x:c r="K37" s="54" t="n">
        <x:v>550</x:v>
      </x:c>
      <x:c r="L37" s="54" t="str">
        <x:v>DRAFT</x:v>
      </x:c>
      <x:c r="M37" s="64" t="n">
        <x:v>46267.424305555556</x:v>
      </x:c>
      <x:c r="N37" s="55" t="b">
        <x:v>1</x:v>
      </x:c>
    </x:row>
    <x:row r="38" ht="28" customHeight="1">
      <x:c r="A38" s="54" t="str">
        <x:v>INV-ENC-HSP-004-007</x:v>
      </x:c>
      <x:c r="B38" s="54" t="str">
        <x:v>ENC-HSP-004-007</x:v>
      </x:c>
      <x:c r="C38" s="54" t="str">
        <x:v>INV-20260902-004-007</x:v>
      </x:c>
      <x:c r="D38" s="54" t="str">
        <x:v>DEMO_INSURANCE</x:v>
      </x:c>
      <x:c r="E38" s="54" t="str">
        <x:v>INR</x:v>
      </x:c>
      <x:c r="F38" s="54" t="n">
        <x:v>550</x:v>
      </x:c>
      <x:c r="G38" s="54" t="n">
        <x:v>0</x:v>
      </x:c>
      <x:c r="H38" s="54" t="n">
        <x:v>0</x:v>
      </x:c>
      <x:c r="I38" s="54" t="n">
        <x:v>550</x:v>
      </x:c>
      <x:c r="J38" s="54" t="n">
        <x:v>0</x:v>
      </x:c>
      <x:c r="K38" s="54" t="n">
        <x:v>550</x:v>
      </x:c>
      <x:c r="L38" s="54" t="str">
        <x:v>DRAFT</x:v>
      </x:c>
      <x:c r="M38" s="64" t="n">
        <x:v>46267.42916666667</x:v>
      </x:c>
      <x:c r="N38" s="55" t="b">
        <x:v>1</x:v>
      </x:c>
    </x:row>
    <x:row r="39" ht="28" customHeight="1">
      <x:c r="A39" s="54" t="str">
        <x:v>INV-ENC-HSP-004-008</x:v>
      </x:c>
      <x:c r="B39" s="54" t="str">
        <x:v>ENC-HSP-004-008</x:v>
      </x:c>
      <x:c r="C39" s="54" t="str">
        <x:v>INV-20260902-004-008</x:v>
      </x:c>
      <x:c r="D39" s="54" t="str">
        <x:v>GOVT_DEMO</x:v>
      </x:c>
      <x:c r="E39" s="54" t="str">
        <x:v>INR</x:v>
      </x:c>
      <x:c r="F39" s="54" t="n">
        <x:v>450</x:v>
      </x:c>
      <x:c r="G39" s="54" t="n">
        <x:v>0</x:v>
      </x:c>
      <x:c r="H39" s="54" t="n">
        <x:v>0</x:v>
      </x:c>
      <x:c r="I39" s="54" t="n">
        <x:v>450</x:v>
      </x:c>
      <x:c r="J39" s="54" t="n">
        <x:v>0</x:v>
      </x:c>
      <x:c r="K39" s="54" t="n">
        <x:v>450</x:v>
      </x:c>
      <x:c r="L39" s="54" t="str">
        <x:v>DRAFT</x:v>
      </x:c>
      <x:c r="M39" s="64" t="n">
        <x:v>46267.43402777778</x:v>
      </x:c>
      <x:c r="N39" s="55" t="b">
        <x:v>1</x:v>
      </x:c>
    </x:row>
    <x:row r="40" ht="28" customHeight="1">
      <x:c r="A40" s="54" t="str">
        <x:v>INV-ENC-HSP-004-009</x:v>
      </x:c>
      <x:c r="B40" s="54" t="str">
        <x:v>ENC-HSP-004-009</x:v>
      </x:c>
      <x:c r="C40" s="54" t="str">
        <x:v>INV-20260902-004-009</x:v>
      </x:c>
      <x:c r="D40" s="54" t="str">
        <x:v>SELF_PAY</x:v>
      </x:c>
      <x:c r="E40" s="54" t="str">
        <x:v>INR</x:v>
      </x:c>
      <x:c r="F40" s="54" t="n">
        <x:v>450</x:v>
      </x:c>
      <x:c r="G40" s="54" t="n">
        <x:v>0</x:v>
      </x:c>
      <x:c r="H40" s="54" t="n">
        <x:v>0</x:v>
      </x:c>
      <x:c r="I40" s="54" t="n">
        <x:v>450</x:v>
      </x:c>
      <x:c r="J40" s="54" t="n">
        <x:v>0</x:v>
      </x:c>
      <x:c r="K40" s="54" t="n">
        <x:v>450</x:v>
      </x:c>
      <x:c r="L40" s="54" t="str">
        <x:v>DRAFT</x:v>
      </x:c>
      <x:c r="M40" s="64" t="n">
        <x:v>46267.438888888886</x:v>
      </x:c>
      <x:c r="N40" s="55" t="b">
        <x:v>1</x:v>
      </x:c>
    </x:row>
    <x:row r="41" ht="28" customHeight="1">
      <x:c r="A41" s="56" t="str">
        <x:v>INV-ENC-HSP-004-010</x:v>
      </x:c>
      <x:c r="B41" s="56" t="str">
        <x:v>ENC-HSP-004-010</x:v>
      </x:c>
      <x:c r="C41" s="56" t="str">
        <x:v>INV-20260902-004-010</x:v>
      </x:c>
      <x:c r="D41" s="56" t="str">
        <x:v>DEMO_INSURANCE</x:v>
      </x:c>
      <x:c r="E41" s="56" t="str">
        <x:v>INR</x:v>
      </x:c>
      <x:c r="F41" s="56" t="n">
        <x:v>550</x:v>
      </x:c>
      <x:c r="G41" s="56" t="n">
        <x:v>0</x:v>
      </x:c>
      <x:c r="H41" s="56" t="n">
        <x:v>0</x:v>
      </x:c>
      <x:c r="I41" s="56" t="n">
        <x:v>550</x:v>
      </x:c>
      <x:c r="J41" s="56" t="n">
        <x:v>0</x:v>
      </x:c>
      <x:c r="K41" s="56" t="n">
        <x:v>550</x:v>
      </x:c>
      <x:c r="L41" s="56" t="str">
        <x:v>DRAFT</x:v>
      </x:c>
      <x:c r="M41" s="65" t="n">
        <x:v>46267.44375</x:v>
      </x:c>
      <x:c r="N41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ea98023541a403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53" t="str">
        <x:v>invoice_item_id</x:v>
      </x:c>
      <x:c r="B1" s="53" t="str">
        <x:v>invoice_id</x:v>
      </x:c>
      <x:c r="C1" s="53" t="str">
        <x:v>service_code</x:v>
      </x:c>
      <x:c r="D1" s="53" t="str">
        <x:v>category</x:v>
      </x:c>
      <x:c r="E1" s="53" t="str">
        <x:v>description</x:v>
      </x:c>
      <x:c r="F1" s="53" t="str">
        <x:v>quantity</x:v>
      </x:c>
      <x:c r="G1" s="53" t="str">
        <x:v>unit_price</x:v>
      </x:c>
      <x:c r="H1" s="53" t="str">
        <x:v>discount_amount</x:v>
      </x:c>
      <x:c r="I1" s="53" t="str">
        <x:v>tax_amount</x:v>
      </x:c>
      <x:c r="J1" s="53" t="str">
        <x:v>line_total</x:v>
      </x:c>
    </x:row>
    <x:row r="2" ht="36" customHeight="1">
      <x:c r="A2" s="54" t="str">
        <x:v>II-ENC-HSP-001-001-01</x:v>
      </x:c>
      <x:c r="B2" s="54" t="str">
        <x:v>INV-ENC-HSP-001-001</x:v>
      </x:c>
      <x:c r="C2" s="54" t="str">
        <x:v>CONSULT-DEMO</x:v>
      </x:c>
      <x:c r="D2" s="54" t="str">
        <x:v>CONSULTATION</x:v>
      </x:c>
      <x:c r="E2" s="61" t="str">
        <x:v>Prototype consultation charge</x:v>
      </x:c>
      <x:c r="F2" s="54" t="n">
        <x:v>1</x:v>
      </x:c>
      <x:c r="G2" s="54" t="n">
        <x:v>600</x:v>
      </x:c>
      <x:c r="H2" s="54" t="n">
        <x:v>0</x:v>
      </x:c>
      <x:c r="I2" s="54" t="n">
        <x:v>0</x:v>
      </x:c>
      <x:c r="J2" s="54" t="n">
        <x:v>600</x:v>
      </x:c>
    </x:row>
    <x:row r="3" ht="36" customHeight="1">
      <x:c r="A3" s="54" t="str">
        <x:v>II-ENC-HSP-001-001-02</x:v>
      </x:c>
      <x:c r="B3" s="54" t="str">
        <x:v>INV-ENC-HSP-001-001</x:v>
      </x:c>
      <x:c r="C3" s="54" t="str">
        <x:v>TRIAGE-DEMO</x:v>
      </x:c>
      <x:c r="D3" s="54" t="str">
        <x:v>TRIAGE</x:v>
      </x:c>
      <x:c r="E3" s="61" t="str">
        <x:v>Prototype triage service charge</x:v>
      </x:c>
      <x:c r="F3" s="54" t="n">
        <x:v>1</x:v>
      </x:c>
      <x:c r="G3" s="54" t="n">
        <x:v>250</x:v>
      </x:c>
      <x:c r="H3" s="54" t="n">
        <x:v>0</x:v>
      </x:c>
      <x:c r="I3" s="54" t="n">
        <x:v>0</x:v>
      </x:c>
      <x:c r="J3" s="54" t="n">
        <x:v>250</x:v>
      </x:c>
    </x:row>
    <x:row r="4" ht="36" customHeight="1">
      <x:c r="A4" s="54" t="str">
        <x:v>II-ENC-HSP-001-002-01</x:v>
      </x:c>
      <x:c r="B4" s="54" t="str">
        <x:v>INV-ENC-HSP-001-002</x:v>
      </x:c>
      <x:c r="C4" s="54" t="str">
        <x:v>CONSULT-DEMO</x:v>
      </x:c>
      <x:c r="D4" s="54" t="str">
        <x:v>CONSULTATION</x:v>
      </x:c>
      <x:c r="E4" s="61" t="str">
        <x:v>Prototype consultation charge</x:v>
      </x:c>
      <x:c r="F4" s="54" t="n">
        <x:v>1</x:v>
      </x:c>
      <x:c r="G4" s="54" t="n">
        <x:v>600</x:v>
      </x:c>
      <x:c r="H4" s="54" t="n">
        <x:v>0</x:v>
      </x:c>
      <x:c r="I4" s="54" t="n">
        <x:v>0</x:v>
      </x:c>
      <x:c r="J4" s="54" t="n">
        <x:v>600</x:v>
      </x:c>
    </x:row>
    <x:row r="5" ht="36" customHeight="1">
      <x:c r="A5" s="54" t="str">
        <x:v>II-ENC-HSP-001-002-02</x:v>
      </x:c>
      <x:c r="B5" s="54" t="str">
        <x:v>INV-ENC-HSP-001-002</x:v>
      </x:c>
      <x:c r="C5" s="54" t="str">
        <x:v>TRIAGE-DEMO</x:v>
      </x:c>
      <x:c r="D5" s="54" t="str">
        <x:v>TRIAGE</x:v>
      </x:c>
      <x:c r="E5" s="61" t="str">
        <x:v>Prototype triage service charge</x:v>
      </x:c>
      <x:c r="F5" s="54" t="n">
        <x:v>1</x:v>
      </x:c>
      <x:c r="G5" s="54" t="n">
        <x:v>250</x:v>
      </x:c>
      <x:c r="H5" s="54" t="n">
        <x:v>0</x:v>
      </x:c>
      <x:c r="I5" s="54" t="n">
        <x:v>0</x:v>
      </x:c>
      <x:c r="J5" s="54" t="n">
        <x:v>250</x:v>
      </x:c>
    </x:row>
    <x:row r="6" ht="36" customHeight="1">
      <x:c r="A6" s="54" t="str">
        <x:v>II-ENC-HSP-001-003-01</x:v>
      </x:c>
      <x:c r="B6" s="54" t="str">
        <x:v>INV-ENC-HSP-001-003</x:v>
      </x:c>
      <x:c r="C6" s="54" t="str">
        <x:v>CONSULT-DEMO</x:v>
      </x:c>
      <x:c r="D6" s="54" t="str">
        <x:v>CONSULTATION</x:v>
      </x:c>
      <x:c r="E6" s="61" t="str">
        <x:v>Prototype consultation charge</x:v>
      </x:c>
      <x:c r="F6" s="54" t="n">
        <x:v>1</x:v>
      </x:c>
      <x:c r="G6" s="54" t="n">
        <x:v>600</x:v>
      </x:c>
      <x:c r="H6" s="54" t="n">
        <x:v>0</x:v>
      </x:c>
      <x:c r="I6" s="54" t="n">
        <x:v>0</x:v>
      </x:c>
      <x:c r="J6" s="54" t="n">
        <x:v>600</x:v>
      </x:c>
    </x:row>
    <x:row r="7" ht="36" customHeight="1">
      <x:c r="A7" s="54" t="str">
        <x:v>II-ENC-HSP-001-003-02</x:v>
      </x:c>
      <x:c r="B7" s="54" t="str">
        <x:v>INV-ENC-HSP-001-003</x:v>
      </x:c>
      <x:c r="C7" s="54" t="str">
        <x:v>TRIAGE-DEMO</x:v>
      </x:c>
      <x:c r="D7" s="54" t="str">
        <x:v>TRIAGE</x:v>
      </x:c>
      <x:c r="E7" s="61" t="str">
        <x:v>Prototype triage service charge</x:v>
      </x:c>
      <x:c r="F7" s="54" t="n">
        <x:v>1</x:v>
      </x:c>
      <x:c r="G7" s="54" t="n">
        <x:v>250</x:v>
      </x:c>
      <x:c r="H7" s="54" t="n">
        <x:v>0</x:v>
      </x:c>
      <x:c r="I7" s="54" t="n">
        <x:v>0</x:v>
      </x:c>
      <x:c r="J7" s="54" t="n">
        <x:v>250</x:v>
      </x:c>
    </x:row>
    <x:row r="8" ht="36" customHeight="1">
      <x:c r="A8" s="54" t="str">
        <x:v>II-ENC-HSP-001-004-01</x:v>
      </x:c>
      <x:c r="B8" s="54" t="str">
        <x:v>INV-ENC-HSP-001-004</x:v>
      </x:c>
      <x:c r="C8" s="54" t="str">
        <x:v>CONSULT-DEMO</x:v>
      </x:c>
      <x:c r="D8" s="54" t="str">
        <x:v>CONSULTATION</x:v>
      </x:c>
      <x:c r="E8" s="61" t="str">
        <x:v>Prototype consultation charge</x:v>
      </x:c>
      <x:c r="F8" s="54" t="n">
        <x:v>1</x:v>
      </x:c>
      <x:c r="G8" s="54" t="n">
        <x:v>600</x:v>
      </x:c>
      <x:c r="H8" s="54" t="n">
        <x:v>0</x:v>
      </x:c>
      <x:c r="I8" s="54" t="n">
        <x:v>0</x:v>
      </x:c>
      <x:c r="J8" s="54" t="n">
        <x:v>600</x:v>
      </x:c>
    </x:row>
    <x:row r="9" ht="36" customHeight="1">
      <x:c r="A9" s="54" t="str">
        <x:v>II-ENC-HSP-001-004-02</x:v>
      </x:c>
      <x:c r="B9" s="54" t="str">
        <x:v>INV-ENC-HSP-001-004</x:v>
      </x:c>
      <x:c r="C9" s="54" t="str">
        <x:v>TRIAGE-DEMO</x:v>
      </x:c>
      <x:c r="D9" s="54" t="str">
        <x:v>TRIAGE</x:v>
      </x:c>
      <x:c r="E9" s="61" t="str">
        <x:v>Prototype triage service charge</x:v>
      </x:c>
      <x:c r="F9" s="54" t="n">
        <x:v>1</x:v>
      </x:c>
      <x:c r="G9" s="54" t="n">
        <x:v>250</x:v>
      </x:c>
      <x:c r="H9" s="54" t="n">
        <x:v>0</x:v>
      </x:c>
      <x:c r="I9" s="54" t="n">
        <x:v>0</x:v>
      </x:c>
      <x:c r="J9" s="54" t="n">
        <x:v>250</x:v>
      </x:c>
    </x:row>
    <x:row r="10" ht="36" customHeight="1">
      <x:c r="A10" s="54" t="str">
        <x:v>II-ENC-HSP-001-005-01</x:v>
      </x:c>
      <x:c r="B10" s="54" t="str">
        <x:v>INV-ENC-HSP-001-005</x:v>
      </x:c>
      <x:c r="C10" s="54" t="str">
        <x:v>CONSULT-DEMO</x:v>
      </x:c>
      <x:c r="D10" s="54" t="str">
        <x:v>CONSULTATION</x:v>
      </x:c>
      <x:c r="E10" s="61" t="str">
        <x:v>Prototype consultation charge</x:v>
      </x:c>
      <x:c r="F10" s="54" t="n">
        <x:v>1</x:v>
      </x:c>
      <x:c r="G10" s="54" t="n">
        <x:v>600</x:v>
      </x:c>
      <x:c r="H10" s="54" t="n">
        <x:v>0</x:v>
      </x:c>
      <x:c r="I10" s="54" t="n">
        <x:v>0</x:v>
      </x:c>
      <x:c r="J10" s="54" t="n">
        <x:v>600</x:v>
      </x:c>
    </x:row>
    <x:row r="11" ht="36" customHeight="1">
      <x:c r="A11" s="54" t="str">
        <x:v>II-ENC-HSP-001-005-02</x:v>
      </x:c>
      <x:c r="B11" s="54" t="str">
        <x:v>INV-ENC-HSP-001-005</x:v>
      </x:c>
      <x:c r="C11" s="54" t="str">
        <x:v>TRIAGE-DEMO</x:v>
      </x:c>
      <x:c r="D11" s="54" t="str">
        <x:v>TRIAGE</x:v>
      </x:c>
      <x:c r="E11" s="61" t="str">
        <x:v>Prototype triage service charge</x:v>
      </x:c>
      <x:c r="F11" s="54" t="n">
        <x:v>1</x:v>
      </x:c>
      <x:c r="G11" s="54" t="n">
        <x:v>250</x:v>
      </x:c>
      <x:c r="H11" s="54" t="n">
        <x:v>0</x:v>
      </x:c>
      <x:c r="I11" s="54" t="n">
        <x:v>0</x:v>
      </x:c>
      <x:c r="J11" s="54" t="n">
        <x:v>250</x:v>
      </x:c>
    </x:row>
    <x:row r="12" ht="36" customHeight="1">
      <x:c r="A12" s="54" t="str">
        <x:v>II-ENC-HSP-001-006-01</x:v>
      </x:c>
      <x:c r="B12" s="54" t="str">
        <x:v>INV-ENC-HSP-001-006</x:v>
      </x:c>
      <x:c r="C12" s="54" t="str">
        <x:v>CONSULT-DEMO</x:v>
      </x:c>
      <x:c r="D12" s="54" t="str">
        <x:v>CONSULTATION</x:v>
      </x:c>
      <x:c r="E12" s="61" t="str">
        <x:v>Prototype consultation charge</x:v>
      </x:c>
      <x:c r="F12" s="54" t="n">
        <x:v>1</x:v>
      </x:c>
      <x:c r="G12" s="54" t="n">
        <x:v>600</x:v>
      </x:c>
      <x:c r="H12" s="54" t="n">
        <x:v>0</x:v>
      </x:c>
      <x:c r="I12" s="54" t="n">
        <x:v>0</x:v>
      </x:c>
      <x:c r="J12" s="54" t="n">
        <x:v>600</x:v>
      </x:c>
    </x:row>
    <x:row r="13" ht="36" customHeight="1">
      <x:c r="A13" s="54" t="str">
        <x:v>II-ENC-HSP-001-006-02</x:v>
      </x:c>
      <x:c r="B13" s="54" t="str">
        <x:v>INV-ENC-HSP-001-006</x:v>
      </x:c>
      <x:c r="C13" s="54" t="str">
        <x:v>TRIAGE-DEMO</x:v>
      </x:c>
      <x:c r="D13" s="54" t="str">
        <x:v>TRIAGE</x:v>
      </x:c>
      <x:c r="E13" s="61" t="str">
        <x:v>Prototype triage service charge</x:v>
      </x:c>
      <x:c r="F13" s="54" t="n">
        <x:v>1</x:v>
      </x:c>
      <x:c r="G13" s="54" t="n">
        <x:v>250</x:v>
      </x:c>
      <x:c r="H13" s="54" t="n">
        <x:v>0</x:v>
      </x:c>
      <x:c r="I13" s="54" t="n">
        <x:v>0</x:v>
      </x:c>
      <x:c r="J13" s="54" t="n">
        <x:v>250</x:v>
      </x:c>
    </x:row>
    <x:row r="14" ht="36" customHeight="1">
      <x:c r="A14" s="54" t="str">
        <x:v>II-ENC-HSP-001-007-01</x:v>
      </x:c>
      <x:c r="B14" s="54" t="str">
        <x:v>INV-ENC-HSP-001-007</x:v>
      </x:c>
      <x:c r="C14" s="54" t="str">
        <x:v>CONSULT-DEMO</x:v>
      </x:c>
      <x:c r="D14" s="54" t="str">
        <x:v>CONSULTATION</x:v>
      </x:c>
      <x:c r="E14" s="61" t="str">
        <x:v>Prototype consultation charge</x:v>
      </x:c>
      <x:c r="F14" s="54" t="n">
        <x:v>1</x:v>
      </x:c>
      <x:c r="G14" s="54" t="n">
        <x:v>600</x:v>
      </x:c>
      <x:c r="H14" s="54" t="n">
        <x:v>0</x:v>
      </x:c>
      <x:c r="I14" s="54" t="n">
        <x:v>0</x:v>
      </x:c>
      <x:c r="J14" s="54" t="n">
        <x:v>600</x:v>
      </x:c>
    </x:row>
    <x:row r="15" ht="36" customHeight="1">
      <x:c r="A15" s="54" t="str">
        <x:v>II-ENC-HSP-001-007-02</x:v>
      </x:c>
      <x:c r="B15" s="54" t="str">
        <x:v>INV-ENC-HSP-001-007</x:v>
      </x:c>
      <x:c r="C15" s="54" t="str">
        <x:v>TRIAGE-DEMO</x:v>
      </x:c>
      <x:c r="D15" s="54" t="str">
        <x:v>TRIAGE</x:v>
      </x:c>
      <x:c r="E15" s="61" t="str">
        <x:v>Prototype triage service charge</x:v>
      </x:c>
      <x:c r="F15" s="54" t="n">
        <x:v>1</x:v>
      </x:c>
      <x:c r="G15" s="54" t="n">
        <x:v>250</x:v>
      </x:c>
      <x:c r="H15" s="54" t="n">
        <x:v>0</x:v>
      </x:c>
      <x:c r="I15" s="54" t="n">
        <x:v>0</x:v>
      </x:c>
      <x:c r="J15" s="54" t="n">
        <x:v>250</x:v>
      </x:c>
    </x:row>
    <x:row r="16" ht="36" customHeight="1">
      <x:c r="A16" s="54" t="str">
        <x:v>II-ENC-HSP-001-008-01</x:v>
      </x:c>
      <x:c r="B16" s="54" t="str">
        <x:v>INV-ENC-HSP-001-008</x:v>
      </x:c>
      <x:c r="C16" s="54" t="str">
        <x:v>CONSULT-DEMO</x:v>
      </x:c>
      <x:c r="D16" s="54" t="str">
        <x:v>CONSULTATION</x:v>
      </x:c>
      <x:c r="E16" s="61" t="str">
        <x:v>Prototype consultation charge</x:v>
      </x:c>
      <x:c r="F16" s="54" t="n">
        <x:v>1</x:v>
      </x:c>
      <x:c r="G16" s="54" t="n">
        <x:v>600</x:v>
      </x:c>
      <x:c r="H16" s="54" t="n">
        <x:v>0</x:v>
      </x:c>
      <x:c r="I16" s="54" t="n">
        <x:v>0</x:v>
      </x:c>
      <x:c r="J16" s="54" t="n">
        <x:v>600</x:v>
      </x:c>
    </x:row>
    <x:row r="17" ht="36" customHeight="1">
      <x:c r="A17" s="54" t="str">
        <x:v>II-ENC-HSP-001-008-02</x:v>
      </x:c>
      <x:c r="B17" s="54" t="str">
        <x:v>INV-ENC-HSP-001-008</x:v>
      </x:c>
      <x:c r="C17" s="54" t="str">
        <x:v>TRIAGE-DEMO</x:v>
      </x:c>
      <x:c r="D17" s="54" t="str">
        <x:v>TRIAGE</x:v>
      </x:c>
      <x:c r="E17" s="61" t="str">
        <x:v>Prototype triage service charge</x:v>
      </x:c>
      <x:c r="F17" s="54" t="n">
        <x:v>1</x:v>
      </x:c>
      <x:c r="G17" s="54" t="n">
        <x:v>250</x:v>
      </x:c>
      <x:c r="H17" s="54" t="n">
        <x:v>0</x:v>
      </x:c>
      <x:c r="I17" s="54" t="n">
        <x:v>0</x:v>
      </x:c>
      <x:c r="J17" s="54" t="n">
        <x:v>250</x:v>
      </x:c>
    </x:row>
    <x:row r="18" ht="36" customHeight="1">
      <x:c r="A18" s="54" t="str">
        <x:v>II-ENC-HSP-001-009-01</x:v>
      </x:c>
      <x:c r="B18" s="54" t="str">
        <x:v>INV-ENC-HSP-001-009</x:v>
      </x:c>
      <x:c r="C18" s="54" t="str">
        <x:v>CONSULT-DEMO</x:v>
      </x:c>
      <x:c r="D18" s="54" t="str">
        <x:v>CONSULTATION</x:v>
      </x:c>
      <x:c r="E18" s="61" t="str">
        <x:v>Prototype consultation charge</x:v>
      </x:c>
      <x:c r="F18" s="54" t="n">
        <x:v>1</x:v>
      </x:c>
      <x:c r="G18" s="54" t="n">
        <x:v>600</x:v>
      </x:c>
      <x:c r="H18" s="54" t="n">
        <x:v>0</x:v>
      </x:c>
      <x:c r="I18" s="54" t="n">
        <x:v>0</x:v>
      </x:c>
      <x:c r="J18" s="54" t="n">
        <x:v>600</x:v>
      </x:c>
    </x:row>
    <x:row r="19" ht="36" customHeight="1">
      <x:c r="A19" s="54" t="str">
        <x:v>II-ENC-HSP-001-009-02</x:v>
      </x:c>
      <x:c r="B19" s="54" t="str">
        <x:v>INV-ENC-HSP-001-009</x:v>
      </x:c>
      <x:c r="C19" s="54" t="str">
        <x:v>TRIAGE-DEMO</x:v>
      </x:c>
      <x:c r="D19" s="54" t="str">
        <x:v>TRIAGE</x:v>
      </x:c>
      <x:c r="E19" s="61" t="str">
        <x:v>Prototype triage service charge</x:v>
      </x:c>
      <x:c r="F19" s="54" t="n">
        <x:v>1</x:v>
      </x:c>
      <x:c r="G19" s="54" t="n">
        <x:v>250</x:v>
      </x:c>
      <x:c r="H19" s="54" t="n">
        <x:v>0</x:v>
      </x:c>
      <x:c r="I19" s="54" t="n">
        <x:v>0</x:v>
      </x:c>
      <x:c r="J19" s="54" t="n">
        <x:v>250</x:v>
      </x:c>
    </x:row>
    <x:row r="20" ht="36" customHeight="1">
      <x:c r="A20" s="54" t="str">
        <x:v>II-ENC-HSP-001-010-01</x:v>
      </x:c>
      <x:c r="B20" s="54" t="str">
        <x:v>INV-ENC-HSP-001-010</x:v>
      </x:c>
      <x:c r="C20" s="54" t="str">
        <x:v>CONSULT-DEMO</x:v>
      </x:c>
      <x:c r="D20" s="54" t="str">
        <x:v>CONSULTATION</x:v>
      </x:c>
      <x:c r="E20" s="61" t="str">
        <x:v>Prototype consultation charge</x:v>
      </x:c>
      <x:c r="F20" s="54" t="n">
        <x:v>1</x:v>
      </x:c>
      <x:c r="G20" s="54" t="n">
        <x:v>600</x:v>
      </x:c>
      <x:c r="H20" s="54" t="n">
        <x:v>0</x:v>
      </x:c>
      <x:c r="I20" s="54" t="n">
        <x:v>0</x:v>
      </x:c>
      <x:c r="J20" s="54" t="n">
        <x:v>600</x:v>
      </x:c>
    </x:row>
    <x:row r="21" ht="36" customHeight="1">
      <x:c r="A21" s="54" t="str">
        <x:v>II-ENC-HSP-001-010-02</x:v>
      </x:c>
      <x:c r="B21" s="54" t="str">
        <x:v>INV-ENC-HSP-001-010</x:v>
      </x:c>
      <x:c r="C21" s="54" t="str">
        <x:v>TRIAGE-DEMO</x:v>
      </x:c>
      <x:c r="D21" s="54" t="str">
        <x:v>TRIAGE</x:v>
      </x:c>
      <x:c r="E21" s="61" t="str">
        <x:v>Prototype triage service charge</x:v>
      </x:c>
      <x:c r="F21" s="54" t="n">
        <x:v>1</x:v>
      </x:c>
      <x:c r="G21" s="54" t="n">
        <x:v>250</x:v>
      </x:c>
      <x:c r="H21" s="54" t="n">
        <x:v>0</x:v>
      </x:c>
      <x:c r="I21" s="54" t="n">
        <x:v>0</x:v>
      </x:c>
      <x:c r="J21" s="54" t="n">
        <x:v>250</x:v>
      </x:c>
    </x:row>
    <x:row r="22" ht="36" customHeight="1">
      <x:c r="A22" s="54" t="str">
        <x:v>II-ENC-HSP-002-001-01</x:v>
      </x:c>
      <x:c r="B22" s="54" t="str">
        <x:v>INV-ENC-HSP-002-001</x:v>
      </x:c>
      <x:c r="C22" s="54" t="str">
        <x:v>CONSULT-DEMO</x:v>
      </x:c>
      <x:c r="D22" s="54" t="str">
        <x:v>CONSULTATION</x:v>
      </x:c>
      <x:c r="E22" s="61" t="str">
        <x:v>Prototype consultation charge</x:v>
      </x:c>
      <x:c r="F22" s="54" t="n">
        <x:v>1</x:v>
      </x:c>
      <x:c r="G22" s="54" t="n">
        <x:v>600</x:v>
      </x:c>
      <x:c r="H22" s="54" t="n">
        <x:v>0</x:v>
      </x:c>
      <x:c r="I22" s="54" t="n">
        <x:v>0</x:v>
      </x:c>
      <x:c r="J22" s="54" t="n">
        <x:v>600</x:v>
      </x:c>
    </x:row>
    <x:row r="23" ht="36" customHeight="1">
      <x:c r="A23" s="54" t="str">
        <x:v>II-ENC-HSP-002-001-02</x:v>
      </x:c>
      <x:c r="B23" s="54" t="str">
        <x:v>INV-ENC-HSP-002-001</x:v>
      </x:c>
      <x:c r="C23" s="54" t="str">
        <x:v>TRIAGE-DEMO</x:v>
      </x:c>
      <x:c r="D23" s="54" t="str">
        <x:v>TRIAGE</x:v>
      </x:c>
      <x:c r="E23" s="61" t="str">
        <x:v>Prototype triage service charge</x:v>
      </x:c>
      <x:c r="F23" s="54" t="n">
        <x:v>1</x:v>
      </x:c>
      <x:c r="G23" s="54" t="n">
        <x:v>250</x:v>
      </x:c>
      <x:c r="H23" s="54" t="n">
        <x:v>0</x:v>
      </x:c>
      <x:c r="I23" s="54" t="n">
        <x:v>0</x:v>
      </x:c>
      <x:c r="J23" s="54" t="n">
        <x:v>250</x:v>
      </x:c>
    </x:row>
    <x:row r="24" ht="36" customHeight="1">
      <x:c r="A24" s="54" t="str">
        <x:v>II-ENC-HSP-002-002-01</x:v>
      </x:c>
      <x:c r="B24" s="54" t="str">
        <x:v>INV-ENC-HSP-002-002</x:v>
      </x:c>
      <x:c r="C24" s="54" t="str">
        <x:v>CONSULT-DEMO</x:v>
      </x:c>
      <x:c r="D24" s="54" t="str">
        <x:v>CONSULTATION</x:v>
      </x:c>
      <x:c r="E24" s="61" t="str">
        <x:v>Prototype consultation charge</x:v>
      </x:c>
      <x:c r="F24" s="54" t="n">
        <x:v>1</x:v>
      </x:c>
      <x:c r="G24" s="54" t="n">
        <x:v>600</x:v>
      </x:c>
      <x:c r="H24" s="54" t="n">
        <x:v>0</x:v>
      </x:c>
      <x:c r="I24" s="54" t="n">
        <x:v>0</x:v>
      </x:c>
      <x:c r="J24" s="54" t="n">
        <x:v>600</x:v>
      </x:c>
    </x:row>
    <x:row r="25" ht="36" customHeight="1">
      <x:c r="A25" s="54" t="str">
        <x:v>II-ENC-HSP-002-002-02</x:v>
      </x:c>
      <x:c r="B25" s="54" t="str">
        <x:v>INV-ENC-HSP-002-002</x:v>
      </x:c>
      <x:c r="C25" s="54" t="str">
        <x:v>TRIAGE-DEMO</x:v>
      </x:c>
      <x:c r="D25" s="54" t="str">
        <x:v>TRIAGE</x:v>
      </x:c>
      <x:c r="E25" s="61" t="str">
        <x:v>Prototype triage service charge</x:v>
      </x:c>
      <x:c r="F25" s="54" t="n">
        <x:v>1</x:v>
      </x:c>
      <x:c r="G25" s="54" t="n">
        <x:v>250</x:v>
      </x:c>
      <x:c r="H25" s="54" t="n">
        <x:v>0</x:v>
      </x:c>
      <x:c r="I25" s="54" t="n">
        <x:v>0</x:v>
      </x:c>
      <x:c r="J25" s="54" t="n">
        <x:v>250</x:v>
      </x:c>
    </x:row>
    <x:row r="26" ht="36" customHeight="1">
      <x:c r="A26" s="54" t="str">
        <x:v>II-ENC-HSP-002-003-01</x:v>
      </x:c>
      <x:c r="B26" s="54" t="str">
        <x:v>INV-ENC-HSP-002-003</x:v>
      </x:c>
      <x:c r="C26" s="54" t="str">
        <x:v>CONSULT-DEMO</x:v>
      </x:c>
      <x:c r="D26" s="54" t="str">
        <x:v>CONSULTATION</x:v>
      </x:c>
      <x:c r="E26" s="61" t="str">
        <x:v>Prototype consultation charge</x:v>
      </x:c>
      <x:c r="F26" s="54" t="n">
        <x:v>1</x:v>
      </x:c>
      <x:c r="G26" s="54" t="n">
        <x:v>600</x:v>
      </x:c>
      <x:c r="H26" s="54" t="n">
        <x:v>0</x:v>
      </x:c>
      <x:c r="I26" s="54" t="n">
        <x:v>0</x:v>
      </x:c>
      <x:c r="J26" s="54" t="n">
        <x:v>600</x:v>
      </x:c>
    </x:row>
    <x:row r="27" ht="36" customHeight="1">
      <x:c r="A27" s="54" t="str">
        <x:v>II-ENC-HSP-002-003-02</x:v>
      </x:c>
      <x:c r="B27" s="54" t="str">
        <x:v>INV-ENC-HSP-002-003</x:v>
      </x:c>
      <x:c r="C27" s="54" t="str">
        <x:v>TRIAGE-DEMO</x:v>
      </x:c>
      <x:c r="D27" s="54" t="str">
        <x:v>TRIAGE</x:v>
      </x:c>
      <x:c r="E27" s="61" t="str">
        <x:v>Prototype triage service charge</x:v>
      </x:c>
      <x:c r="F27" s="54" t="n">
        <x:v>1</x:v>
      </x:c>
      <x:c r="G27" s="54" t="n">
        <x:v>250</x:v>
      </x:c>
      <x:c r="H27" s="54" t="n">
        <x:v>0</x:v>
      </x:c>
      <x:c r="I27" s="54" t="n">
        <x:v>0</x:v>
      </x:c>
      <x:c r="J27" s="54" t="n">
        <x:v>250</x:v>
      </x:c>
    </x:row>
    <x:row r="28" ht="36" customHeight="1">
      <x:c r="A28" s="54" t="str">
        <x:v>II-ENC-HSP-002-004-01</x:v>
      </x:c>
      <x:c r="B28" s="54" t="str">
        <x:v>INV-ENC-HSP-002-004</x:v>
      </x:c>
      <x:c r="C28" s="54" t="str">
        <x:v>CONSULT-DEMO</x:v>
      </x:c>
      <x:c r="D28" s="54" t="str">
        <x:v>CONSULTATION</x:v>
      </x:c>
      <x:c r="E28" s="61" t="str">
        <x:v>Prototype consultation charge</x:v>
      </x:c>
      <x:c r="F28" s="54" t="n">
        <x:v>1</x:v>
      </x:c>
      <x:c r="G28" s="54" t="n">
        <x:v>600</x:v>
      </x:c>
      <x:c r="H28" s="54" t="n">
        <x:v>0</x:v>
      </x:c>
      <x:c r="I28" s="54" t="n">
        <x:v>0</x:v>
      </x:c>
      <x:c r="J28" s="54" t="n">
        <x:v>600</x:v>
      </x:c>
    </x:row>
    <x:row r="29" ht="36" customHeight="1">
      <x:c r="A29" s="54" t="str">
        <x:v>II-ENC-HSP-002-004-02</x:v>
      </x:c>
      <x:c r="B29" s="54" t="str">
        <x:v>INV-ENC-HSP-002-004</x:v>
      </x:c>
      <x:c r="C29" s="54" t="str">
        <x:v>TRIAGE-DEMO</x:v>
      </x:c>
      <x:c r="D29" s="54" t="str">
        <x:v>TRIAGE</x:v>
      </x:c>
      <x:c r="E29" s="61" t="str">
        <x:v>Prototype triage service charge</x:v>
      </x:c>
      <x:c r="F29" s="54" t="n">
        <x:v>1</x:v>
      </x:c>
      <x:c r="G29" s="54" t="n">
        <x:v>250</x:v>
      </x:c>
      <x:c r="H29" s="54" t="n">
        <x:v>0</x:v>
      </x:c>
      <x:c r="I29" s="54" t="n">
        <x:v>0</x:v>
      </x:c>
      <x:c r="J29" s="54" t="n">
        <x:v>250</x:v>
      </x:c>
    </x:row>
    <x:row r="30" ht="36" customHeight="1">
      <x:c r="A30" s="54" t="str">
        <x:v>II-ENC-HSP-002-005-01</x:v>
      </x:c>
      <x:c r="B30" s="54" t="str">
        <x:v>INV-ENC-HSP-002-005</x:v>
      </x:c>
      <x:c r="C30" s="54" t="str">
        <x:v>CONSULT-DEMO</x:v>
      </x:c>
      <x:c r="D30" s="54" t="str">
        <x:v>CONSULTATION</x:v>
      </x:c>
      <x:c r="E30" s="61" t="str">
        <x:v>Prototype consultation charge</x:v>
      </x:c>
      <x:c r="F30" s="54" t="n">
        <x:v>1</x:v>
      </x:c>
      <x:c r="G30" s="54" t="n">
        <x:v>600</x:v>
      </x:c>
      <x:c r="H30" s="54" t="n">
        <x:v>0</x:v>
      </x:c>
      <x:c r="I30" s="54" t="n">
        <x:v>0</x:v>
      </x:c>
      <x:c r="J30" s="54" t="n">
        <x:v>600</x:v>
      </x:c>
    </x:row>
    <x:row r="31" ht="36" customHeight="1">
      <x:c r="A31" s="54" t="str">
        <x:v>II-ENC-HSP-002-005-02</x:v>
      </x:c>
      <x:c r="B31" s="54" t="str">
        <x:v>INV-ENC-HSP-002-005</x:v>
      </x:c>
      <x:c r="C31" s="54" t="str">
        <x:v>TRIAGE-DEMO</x:v>
      </x:c>
      <x:c r="D31" s="54" t="str">
        <x:v>TRIAGE</x:v>
      </x:c>
      <x:c r="E31" s="61" t="str">
        <x:v>Prototype triage service charge</x:v>
      </x:c>
      <x:c r="F31" s="54" t="n">
        <x:v>1</x:v>
      </x:c>
      <x:c r="G31" s="54" t="n">
        <x:v>150</x:v>
      </x:c>
      <x:c r="H31" s="54" t="n">
        <x:v>0</x:v>
      </x:c>
      <x:c r="I31" s="54" t="n">
        <x:v>0</x:v>
      </x:c>
      <x:c r="J31" s="54" t="n">
        <x:v>150</x:v>
      </x:c>
    </x:row>
    <x:row r="32" ht="36" customHeight="1">
      <x:c r="A32" s="54" t="str">
        <x:v>II-ENC-HSP-002-006-01</x:v>
      </x:c>
      <x:c r="B32" s="54" t="str">
        <x:v>INV-ENC-HSP-002-006</x:v>
      </x:c>
      <x:c r="C32" s="54" t="str">
        <x:v>CONSULT-DEMO</x:v>
      </x:c>
      <x:c r="D32" s="54" t="str">
        <x:v>CONSULTATION</x:v>
      </x:c>
      <x:c r="E32" s="61" t="str">
        <x:v>Prototype consultation charge</x:v>
      </x:c>
      <x:c r="F32" s="54" t="n">
        <x:v>1</x:v>
      </x:c>
      <x:c r="G32" s="54" t="n">
        <x:v>600</x:v>
      </x:c>
      <x:c r="H32" s="54" t="n">
        <x:v>0</x:v>
      </x:c>
      <x:c r="I32" s="54" t="n">
        <x:v>0</x:v>
      </x:c>
      <x:c r="J32" s="54" t="n">
        <x:v>600</x:v>
      </x:c>
    </x:row>
    <x:row r="33" ht="36" customHeight="1">
      <x:c r="A33" s="54" t="str">
        <x:v>II-ENC-HSP-002-006-02</x:v>
      </x:c>
      <x:c r="B33" s="54" t="str">
        <x:v>INV-ENC-HSP-002-006</x:v>
      </x:c>
      <x:c r="C33" s="54" t="str">
        <x:v>TRIAGE-DEMO</x:v>
      </x:c>
      <x:c r="D33" s="54" t="str">
        <x:v>TRIAGE</x:v>
      </x:c>
      <x:c r="E33" s="61" t="str">
        <x:v>Prototype triage service charge</x:v>
      </x:c>
      <x:c r="F33" s="54" t="n">
        <x:v>1</x:v>
      </x:c>
      <x:c r="G33" s="54" t="n">
        <x:v>150</x:v>
      </x:c>
      <x:c r="H33" s="54" t="n">
        <x:v>0</x:v>
      </x:c>
      <x:c r="I33" s="54" t="n">
        <x:v>0</x:v>
      </x:c>
      <x:c r="J33" s="54" t="n">
        <x:v>150</x:v>
      </x:c>
    </x:row>
    <x:row r="34" ht="36" customHeight="1">
      <x:c r="A34" s="54" t="str">
        <x:v>II-ENC-HSP-002-007-01</x:v>
      </x:c>
      <x:c r="B34" s="54" t="str">
        <x:v>INV-ENC-HSP-002-007</x:v>
      </x:c>
      <x:c r="C34" s="54" t="str">
        <x:v>CONSULT-DEMO</x:v>
      </x:c>
      <x:c r="D34" s="54" t="str">
        <x:v>CONSULTATION</x:v>
      </x:c>
      <x:c r="E34" s="61" t="str">
        <x:v>Prototype consultation charge</x:v>
      </x:c>
      <x:c r="F34" s="54" t="n">
        <x:v>1</x:v>
      </x:c>
      <x:c r="G34" s="54" t="n">
        <x:v>600</x:v>
      </x:c>
      <x:c r="H34" s="54" t="n">
        <x:v>0</x:v>
      </x:c>
      <x:c r="I34" s="54" t="n">
        <x:v>0</x:v>
      </x:c>
      <x:c r="J34" s="54" t="n">
        <x:v>600</x:v>
      </x:c>
    </x:row>
    <x:row r="35" ht="36" customHeight="1">
      <x:c r="A35" s="54" t="str">
        <x:v>II-ENC-HSP-002-007-02</x:v>
      </x:c>
      <x:c r="B35" s="54" t="str">
        <x:v>INV-ENC-HSP-002-007</x:v>
      </x:c>
      <x:c r="C35" s="54" t="str">
        <x:v>TRIAGE-DEMO</x:v>
      </x:c>
      <x:c r="D35" s="54" t="str">
        <x:v>TRIAGE</x:v>
      </x:c>
      <x:c r="E35" s="61" t="str">
        <x:v>Prototype triage service charge</x:v>
      </x:c>
      <x:c r="F35" s="54" t="n">
        <x:v>1</x:v>
      </x:c>
      <x:c r="G35" s="54" t="n">
        <x:v>150</x:v>
      </x:c>
      <x:c r="H35" s="54" t="n">
        <x:v>0</x:v>
      </x:c>
      <x:c r="I35" s="54" t="n">
        <x:v>0</x:v>
      </x:c>
      <x:c r="J35" s="54" t="n">
        <x:v>150</x:v>
      </x:c>
    </x:row>
    <x:row r="36" ht="36" customHeight="1">
      <x:c r="A36" s="54" t="str">
        <x:v>II-ENC-HSP-002-008-01</x:v>
      </x:c>
      <x:c r="B36" s="54" t="str">
        <x:v>INV-ENC-HSP-002-008</x:v>
      </x:c>
      <x:c r="C36" s="54" t="str">
        <x:v>CONSULT-DEMO</x:v>
      </x:c>
      <x:c r="D36" s="54" t="str">
        <x:v>CONSULTATION</x:v>
      </x:c>
      <x:c r="E36" s="61" t="str">
        <x:v>Prototype consultation charge</x:v>
      </x:c>
      <x:c r="F36" s="54" t="n">
        <x:v>1</x:v>
      </x:c>
      <x:c r="G36" s="54" t="n">
        <x:v>600</x:v>
      </x:c>
      <x:c r="H36" s="54" t="n">
        <x:v>0</x:v>
      </x:c>
      <x:c r="I36" s="54" t="n">
        <x:v>0</x:v>
      </x:c>
      <x:c r="J36" s="54" t="n">
        <x:v>600</x:v>
      </x:c>
    </x:row>
    <x:row r="37" ht="36" customHeight="1">
      <x:c r="A37" s="54" t="str">
        <x:v>II-ENC-HSP-002-008-02</x:v>
      </x:c>
      <x:c r="B37" s="54" t="str">
        <x:v>INV-ENC-HSP-002-008</x:v>
      </x:c>
      <x:c r="C37" s="54" t="str">
        <x:v>TRIAGE-DEMO</x:v>
      </x:c>
      <x:c r="D37" s="54" t="str">
        <x:v>TRIAGE</x:v>
      </x:c>
      <x:c r="E37" s="61" t="str">
        <x:v>Prototype triage service charge</x:v>
      </x:c>
      <x:c r="F37" s="54" t="n">
        <x:v>1</x:v>
      </x:c>
      <x:c r="G37" s="54" t="n">
        <x:v>150</x:v>
      </x:c>
      <x:c r="H37" s="54" t="n">
        <x:v>0</x:v>
      </x:c>
      <x:c r="I37" s="54" t="n">
        <x:v>0</x:v>
      </x:c>
      <x:c r="J37" s="54" t="n">
        <x:v>150</x:v>
      </x:c>
    </x:row>
    <x:row r="38" ht="36" customHeight="1">
      <x:c r="A38" s="54" t="str">
        <x:v>II-ENC-HSP-002-009-01</x:v>
      </x:c>
      <x:c r="B38" s="54" t="str">
        <x:v>INV-ENC-HSP-002-009</x:v>
      </x:c>
      <x:c r="C38" s="54" t="str">
        <x:v>CONSULT-DEMO</x:v>
      </x:c>
      <x:c r="D38" s="54" t="str">
        <x:v>CONSULTATION</x:v>
      </x:c>
      <x:c r="E38" s="61" t="str">
        <x:v>Prototype consultation charge</x:v>
      </x:c>
      <x:c r="F38" s="54" t="n">
        <x:v>1</x:v>
      </x:c>
      <x:c r="G38" s="54" t="n">
        <x:v>600</x:v>
      </x:c>
      <x:c r="H38" s="54" t="n">
        <x:v>0</x:v>
      </x:c>
      <x:c r="I38" s="54" t="n">
        <x:v>0</x:v>
      </x:c>
      <x:c r="J38" s="54" t="n">
        <x:v>600</x:v>
      </x:c>
    </x:row>
    <x:row r="39" ht="36" customHeight="1">
      <x:c r="A39" s="54" t="str">
        <x:v>II-ENC-HSP-002-009-02</x:v>
      </x:c>
      <x:c r="B39" s="54" t="str">
        <x:v>INV-ENC-HSP-002-009</x:v>
      </x:c>
      <x:c r="C39" s="54" t="str">
        <x:v>TRIAGE-DEMO</x:v>
      </x:c>
      <x:c r="D39" s="54" t="str">
        <x:v>TRIAGE</x:v>
      </x:c>
      <x:c r="E39" s="61" t="str">
        <x:v>Prototype triage service charge</x:v>
      </x:c>
      <x:c r="F39" s="54" t="n">
        <x:v>1</x:v>
      </x:c>
      <x:c r="G39" s="54" t="n">
        <x:v>150</x:v>
      </x:c>
      <x:c r="H39" s="54" t="n">
        <x:v>0</x:v>
      </x:c>
      <x:c r="I39" s="54" t="n">
        <x:v>0</x:v>
      </x:c>
      <x:c r="J39" s="54" t="n">
        <x:v>150</x:v>
      </x:c>
    </x:row>
    <x:row r="40" ht="36" customHeight="1">
      <x:c r="A40" s="54" t="str">
        <x:v>II-ENC-HSP-002-010-01</x:v>
      </x:c>
      <x:c r="B40" s="54" t="str">
        <x:v>INV-ENC-HSP-002-010</x:v>
      </x:c>
      <x:c r="C40" s="54" t="str">
        <x:v>CONSULT-DEMO</x:v>
      </x:c>
      <x:c r="D40" s="54" t="str">
        <x:v>CONSULTATION</x:v>
      </x:c>
      <x:c r="E40" s="61" t="str">
        <x:v>Prototype consultation charge</x:v>
      </x:c>
      <x:c r="F40" s="54" t="n">
        <x:v>1</x:v>
      </x:c>
      <x:c r="G40" s="54" t="n">
        <x:v>600</x:v>
      </x:c>
      <x:c r="H40" s="54" t="n">
        <x:v>0</x:v>
      </x:c>
      <x:c r="I40" s="54" t="n">
        <x:v>0</x:v>
      </x:c>
      <x:c r="J40" s="54" t="n">
        <x:v>600</x:v>
      </x:c>
    </x:row>
    <x:row r="41" ht="36" customHeight="1">
      <x:c r="A41" s="54" t="str">
        <x:v>II-ENC-HSP-002-010-02</x:v>
      </x:c>
      <x:c r="B41" s="54" t="str">
        <x:v>INV-ENC-HSP-002-010</x:v>
      </x:c>
      <x:c r="C41" s="54" t="str">
        <x:v>TRIAGE-DEMO</x:v>
      </x:c>
      <x:c r="D41" s="54" t="str">
        <x:v>TRIAGE</x:v>
      </x:c>
      <x:c r="E41" s="61" t="str">
        <x:v>Prototype triage service charge</x:v>
      </x:c>
      <x:c r="F41" s="54" t="n">
        <x:v>1</x:v>
      </x:c>
      <x:c r="G41" s="54" t="n">
        <x:v>150</x:v>
      </x:c>
      <x:c r="H41" s="54" t="n">
        <x:v>0</x:v>
      </x:c>
      <x:c r="I41" s="54" t="n">
        <x:v>0</x:v>
      </x:c>
      <x:c r="J41" s="54" t="n">
        <x:v>150</x:v>
      </x:c>
    </x:row>
    <x:row r="42" ht="36" customHeight="1">
      <x:c r="A42" s="54" t="str">
        <x:v>II-ENC-HSP-003-001-01</x:v>
      </x:c>
      <x:c r="B42" s="54" t="str">
        <x:v>INV-ENC-HSP-003-001</x:v>
      </x:c>
      <x:c r="C42" s="54" t="str">
        <x:v>CONSULT-DEMO</x:v>
      </x:c>
      <x:c r="D42" s="54" t="str">
        <x:v>CONSULTATION</x:v>
      </x:c>
      <x:c r="E42" s="61" t="str">
        <x:v>Prototype consultation charge</x:v>
      </x:c>
      <x:c r="F42" s="54" t="n">
        <x:v>1</x:v>
      </x:c>
      <x:c r="G42" s="54" t="n">
        <x:v>300</x:v>
      </x:c>
      <x:c r="H42" s="54" t="n">
        <x:v>0</x:v>
      </x:c>
      <x:c r="I42" s="54" t="n">
        <x:v>0</x:v>
      </x:c>
      <x:c r="J42" s="54" t="n">
        <x:v>300</x:v>
      </x:c>
    </x:row>
    <x:row r="43" ht="36" customHeight="1">
      <x:c r="A43" s="54" t="str">
        <x:v>II-ENC-HSP-003-001-02</x:v>
      </x:c>
      <x:c r="B43" s="54" t="str">
        <x:v>INV-ENC-HSP-003-001</x:v>
      </x:c>
      <x:c r="C43" s="54" t="str">
        <x:v>TRIAGE-DEMO</x:v>
      </x:c>
      <x:c r="D43" s="54" t="str">
        <x:v>TRIAGE</x:v>
      </x:c>
      <x:c r="E43" s="61" t="str">
        <x:v>Prototype triage service charge</x:v>
      </x:c>
      <x:c r="F43" s="54" t="n">
        <x:v>1</x:v>
      </x:c>
      <x:c r="G43" s="54" t="n">
        <x:v>150</x:v>
      </x:c>
      <x:c r="H43" s="54" t="n">
        <x:v>0</x:v>
      </x:c>
      <x:c r="I43" s="54" t="n">
        <x:v>0</x:v>
      </x:c>
      <x:c r="J43" s="54" t="n">
        <x:v>150</x:v>
      </x:c>
    </x:row>
    <x:row r="44" ht="36" customHeight="1">
      <x:c r="A44" s="54" t="str">
        <x:v>II-ENC-HSP-003-002-01</x:v>
      </x:c>
      <x:c r="B44" s="54" t="str">
        <x:v>INV-ENC-HSP-003-002</x:v>
      </x:c>
      <x:c r="C44" s="54" t="str">
        <x:v>CONSULT-DEMO</x:v>
      </x:c>
      <x:c r="D44" s="54" t="str">
        <x:v>CONSULTATION</x:v>
      </x:c>
      <x:c r="E44" s="61" t="str">
        <x:v>Prototype consultation charge</x:v>
      </x:c>
      <x:c r="F44" s="54" t="n">
        <x:v>1</x:v>
      </x:c>
      <x:c r="G44" s="54" t="n">
        <x:v>300</x:v>
      </x:c>
      <x:c r="H44" s="54" t="n">
        <x:v>0</x:v>
      </x:c>
      <x:c r="I44" s="54" t="n">
        <x:v>0</x:v>
      </x:c>
      <x:c r="J44" s="54" t="n">
        <x:v>300</x:v>
      </x:c>
    </x:row>
    <x:row r="45" ht="36" customHeight="1">
      <x:c r="A45" s="54" t="str">
        <x:v>II-ENC-HSP-003-002-02</x:v>
      </x:c>
      <x:c r="B45" s="54" t="str">
        <x:v>INV-ENC-HSP-003-002</x:v>
      </x:c>
      <x:c r="C45" s="54" t="str">
        <x:v>TRIAGE-DEMO</x:v>
      </x:c>
      <x:c r="D45" s="54" t="str">
        <x:v>TRIAGE</x:v>
      </x:c>
      <x:c r="E45" s="61" t="str">
        <x:v>Prototype triage service charge</x:v>
      </x:c>
      <x:c r="F45" s="54" t="n">
        <x:v>1</x:v>
      </x:c>
      <x:c r="G45" s="54" t="n">
        <x:v>150</x:v>
      </x:c>
      <x:c r="H45" s="54" t="n">
        <x:v>0</x:v>
      </x:c>
      <x:c r="I45" s="54" t="n">
        <x:v>0</x:v>
      </x:c>
      <x:c r="J45" s="54" t="n">
        <x:v>150</x:v>
      </x:c>
    </x:row>
    <x:row r="46" ht="36" customHeight="1">
      <x:c r="A46" s="54" t="str">
        <x:v>II-ENC-HSP-003-003-01</x:v>
      </x:c>
      <x:c r="B46" s="54" t="str">
        <x:v>INV-ENC-HSP-003-003</x:v>
      </x:c>
      <x:c r="C46" s="54" t="str">
        <x:v>CONSULT-DEMO</x:v>
      </x:c>
      <x:c r="D46" s="54" t="str">
        <x:v>CONSULTATION</x:v>
      </x:c>
      <x:c r="E46" s="61" t="str">
        <x:v>Prototype consultation charge</x:v>
      </x:c>
      <x:c r="F46" s="54" t="n">
        <x:v>1</x:v>
      </x:c>
      <x:c r="G46" s="54" t="n">
        <x:v>300</x:v>
      </x:c>
      <x:c r="H46" s="54" t="n">
        <x:v>0</x:v>
      </x:c>
      <x:c r="I46" s="54" t="n">
        <x:v>0</x:v>
      </x:c>
      <x:c r="J46" s="54" t="n">
        <x:v>300</x:v>
      </x:c>
    </x:row>
    <x:row r="47" ht="36" customHeight="1">
      <x:c r="A47" s="54" t="str">
        <x:v>II-ENC-HSP-003-003-02</x:v>
      </x:c>
      <x:c r="B47" s="54" t="str">
        <x:v>INV-ENC-HSP-003-003</x:v>
      </x:c>
      <x:c r="C47" s="54" t="str">
        <x:v>TRIAGE-DEMO</x:v>
      </x:c>
      <x:c r="D47" s="54" t="str">
        <x:v>TRIAGE</x:v>
      </x:c>
      <x:c r="E47" s="61" t="str">
        <x:v>Prototype triage service charge</x:v>
      </x:c>
      <x:c r="F47" s="54" t="n">
        <x:v>1</x:v>
      </x:c>
      <x:c r="G47" s="54" t="n">
        <x:v>150</x:v>
      </x:c>
      <x:c r="H47" s="54" t="n">
        <x:v>0</x:v>
      </x:c>
      <x:c r="I47" s="54" t="n">
        <x:v>0</x:v>
      </x:c>
      <x:c r="J47" s="54" t="n">
        <x:v>150</x:v>
      </x:c>
    </x:row>
    <x:row r="48" ht="36" customHeight="1">
      <x:c r="A48" s="54" t="str">
        <x:v>II-ENC-HSP-003-004-01</x:v>
      </x:c>
      <x:c r="B48" s="54" t="str">
        <x:v>INV-ENC-HSP-003-004</x:v>
      </x:c>
      <x:c r="C48" s="54" t="str">
        <x:v>CONSULT-DEMO</x:v>
      </x:c>
      <x:c r="D48" s="54" t="str">
        <x:v>CONSULTATION</x:v>
      </x:c>
      <x:c r="E48" s="61" t="str">
        <x:v>Prototype consultation charge</x:v>
      </x:c>
      <x:c r="F48" s="54" t="n">
        <x:v>1</x:v>
      </x:c>
      <x:c r="G48" s="54" t="n">
        <x:v>300</x:v>
      </x:c>
      <x:c r="H48" s="54" t="n">
        <x:v>0</x:v>
      </x:c>
      <x:c r="I48" s="54" t="n">
        <x:v>0</x:v>
      </x:c>
      <x:c r="J48" s="54" t="n">
        <x:v>300</x:v>
      </x:c>
    </x:row>
    <x:row r="49" ht="36" customHeight="1">
      <x:c r="A49" s="54" t="str">
        <x:v>II-ENC-HSP-003-004-02</x:v>
      </x:c>
      <x:c r="B49" s="54" t="str">
        <x:v>INV-ENC-HSP-003-004</x:v>
      </x:c>
      <x:c r="C49" s="54" t="str">
        <x:v>TRIAGE-DEMO</x:v>
      </x:c>
      <x:c r="D49" s="54" t="str">
        <x:v>TRIAGE</x:v>
      </x:c>
      <x:c r="E49" s="61" t="str">
        <x:v>Prototype triage service charge</x:v>
      </x:c>
      <x:c r="F49" s="54" t="n">
        <x:v>1</x:v>
      </x:c>
      <x:c r="G49" s="54" t="n">
        <x:v>150</x:v>
      </x:c>
      <x:c r="H49" s="54" t="n">
        <x:v>0</x:v>
      </x:c>
      <x:c r="I49" s="54" t="n">
        <x:v>0</x:v>
      </x:c>
      <x:c r="J49" s="54" t="n">
        <x:v>150</x:v>
      </x:c>
    </x:row>
    <x:row r="50" ht="36" customHeight="1">
      <x:c r="A50" s="54" t="str">
        <x:v>II-ENC-HSP-003-005-01</x:v>
      </x:c>
      <x:c r="B50" s="54" t="str">
        <x:v>INV-ENC-HSP-003-005</x:v>
      </x:c>
      <x:c r="C50" s="54" t="str">
        <x:v>CONSULT-DEMO</x:v>
      </x:c>
      <x:c r="D50" s="54" t="str">
        <x:v>CONSULTATION</x:v>
      </x:c>
      <x:c r="E50" s="61" t="str">
        <x:v>Prototype consultation charge</x:v>
      </x:c>
      <x:c r="F50" s="54" t="n">
        <x:v>1</x:v>
      </x:c>
      <x:c r="G50" s="54" t="n">
        <x:v>300</x:v>
      </x:c>
      <x:c r="H50" s="54" t="n">
        <x:v>0</x:v>
      </x:c>
      <x:c r="I50" s="54" t="n">
        <x:v>0</x:v>
      </x:c>
      <x:c r="J50" s="54" t="n">
        <x:v>300</x:v>
      </x:c>
    </x:row>
    <x:row r="51" ht="36" customHeight="1">
      <x:c r="A51" s="54" t="str">
        <x:v>II-ENC-HSP-003-005-02</x:v>
      </x:c>
      <x:c r="B51" s="54" t="str">
        <x:v>INV-ENC-HSP-003-005</x:v>
      </x:c>
      <x:c r="C51" s="54" t="str">
        <x:v>TRIAGE-DEMO</x:v>
      </x:c>
      <x:c r="D51" s="54" t="str">
        <x:v>TRIAGE</x:v>
      </x:c>
      <x:c r="E51" s="61" t="str">
        <x:v>Prototype triage service charge</x:v>
      </x:c>
      <x:c r="F51" s="54" t="n">
        <x:v>1</x:v>
      </x:c>
      <x:c r="G51" s="54" t="n">
        <x:v>150</x:v>
      </x:c>
      <x:c r="H51" s="54" t="n">
        <x:v>0</x:v>
      </x:c>
      <x:c r="I51" s="54" t="n">
        <x:v>0</x:v>
      </x:c>
      <x:c r="J51" s="54" t="n">
        <x:v>150</x:v>
      </x:c>
    </x:row>
    <x:row r="52" ht="36" customHeight="1">
      <x:c r="A52" s="54" t="str">
        <x:v>II-ENC-HSP-003-006-01</x:v>
      </x:c>
      <x:c r="B52" s="54" t="str">
        <x:v>INV-ENC-HSP-003-006</x:v>
      </x:c>
      <x:c r="C52" s="54" t="str">
        <x:v>CONSULT-DEMO</x:v>
      </x:c>
      <x:c r="D52" s="54" t="str">
        <x:v>CONSULTATION</x:v>
      </x:c>
      <x:c r="E52" s="61" t="str">
        <x:v>Prototype consultation charge</x:v>
      </x:c>
      <x:c r="F52" s="54" t="n">
        <x:v>1</x:v>
      </x:c>
      <x:c r="G52" s="54" t="n">
        <x:v>300</x:v>
      </x:c>
      <x:c r="H52" s="54" t="n">
        <x:v>0</x:v>
      </x:c>
      <x:c r="I52" s="54" t="n">
        <x:v>0</x:v>
      </x:c>
      <x:c r="J52" s="54" t="n">
        <x:v>300</x:v>
      </x:c>
    </x:row>
    <x:row r="53" ht="36" customHeight="1">
      <x:c r="A53" s="54" t="str">
        <x:v>II-ENC-HSP-003-006-02</x:v>
      </x:c>
      <x:c r="B53" s="54" t="str">
        <x:v>INV-ENC-HSP-003-006</x:v>
      </x:c>
      <x:c r="C53" s="54" t="str">
        <x:v>TRIAGE-DEMO</x:v>
      </x:c>
      <x:c r="D53" s="54" t="str">
        <x:v>TRIAGE</x:v>
      </x:c>
      <x:c r="E53" s="61" t="str">
        <x:v>Prototype triage service charge</x:v>
      </x:c>
      <x:c r="F53" s="54" t="n">
        <x:v>1</x:v>
      </x:c>
      <x:c r="G53" s="54" t="n">
        <x:v>150</x:v>
      </x:c>
      <x:c r="H53" s="54" t="n">
        <x:v>0</x:v>
      </x:c>
      <x:c r="I53" s="54" t="n">
        <x:v>0</x:v>
      </x:c>
      <x:c r="J53" s="54" t="n">
        <x:v>150</x:v>
      </x:c>
    </x:row>
    <x:row r="54" ht="36" customHeight="1">
      <x:c r="A54" s="54" t="str">
        <x:v>II-ENC-HSP-003-007-01</x:v>
      </x:c>
      <x:c r="B54" s="54" t="str">
        <x:v>INV-ENC-HSP-003-007</x:v>
      </x:c>
      <x:c r="C54" s="54" t="str">
        <x:v>CONSULT-DEMO</x:v>
      </x:c>
      <x:c r="D54" s="54" t="str">
        <x:v>CONSULTATION</x:v>
      </x:c>
      <x:c r="E54" s="61" t="str">
        <x:v>Prototype consultation charge</x:v>
      </x:c>
      <x:c r="F54" s="54" t="n">
        <x:v>1</x:v>
      </x:c>
      <x:c r="G54" s="54" t="n">
        <x:v>300</x:v>
      </x:c>
      <x:c r="H54" s="54" t="n">
        <x:v>0</x:v>
      </x:c>
      <x:c r="I54" s="54" t="n">
        <x:v>0</x:v>
      </x:c>
      <x:c r="J54" s="54" t="n">
        <x:v>300</x:v>
      </x:c>
    </x:row>
    <x:row r="55" ht="36" customHeight="1">
      <x:c r="A55" s="54" t="str">
        <x:v>II-ENC-HSP-003-007-02</x:v>
      </x:c>
      <x:c r="B55" s="54" t="str">
        <x:v>INV-ENC-HSP-003-007</x:v>
      </x:c>
      <x:c r="C55" s="54" t="str">
        <x:v>TRIAGE-DEMO</x:v>
      </x:c>
      <x:c r="D55" s="54" t="str">
        <x:v>TRIAGE</x:v>
      </x:c>
      <x:c r="E55" s="61" t="str">
        <x:v>Prototype triage service charge</x:v>
      </x:c>
      <x:c r="F55" s="54" t="n">
        <x:v>1</x:v>
      </x:c>
      <x:c r="G55" s="54" t="n">
        <x:v>150</x:v>
      </x:c>
      <x:c r="H55" s="54" t="n">
        <x:v>0</x:v>
      </x:c>
      <x:c r="I55" s="54" t="n">
        <x:v>0</x:v>
      </x:c>
      <x:c r="J55" s="54" t="n">
        <x:v>150</x:v>
      </x:c>
    </x:row>
    <x:row r="56" ht="36" customHeight="1">
      <x:c r="A56" s="54" t="str">
        <x:v>II-ENC-HSP-003-008-01</x:v>
      </x:c>
      <x:c r="B56" s="54" t="str">
        <x:v>INV-ENC-HSP-003-008</x:v>
      </x:c>
      <x:c r="C56" s="54" t="str">
        <x:v>CONSULT-DEMO</x:v>
      </x:c>
      <x:c r="D56" s="54" t="str">
        <x:v>CONSULTATION</x:v>
      </x:c>
      <x:c r="E56" s="61" t="str">
        <x:v>Prototype consultation charge</x:v>
      </x:c>
      <x:c r="F56" s="54" t="n">
        <x:v>1</x:v>
      </x:c>
      <x:c r="G56" s="54" t="n">
        <x:v>300</x:v>
      </x:c>
      <x:c r="H56" s="54" t="n">
        <x:v>0</x:v>
      </x:c>
      <x:c r="I56" s="54" t="n">
        <x:v>0</x:v>
      </x:c>
      <x:c r="J56" s="54" t="n">
        <x:v>300</x:v>
      </x:c>
    </x:row>
    <x:row r="57" ht="36" customHeight="1">
      <x:c r="A57" s="54" t="str">
        <x:v>II-ENC-HSP-003-008-02</x:v>
      </x:c>
      <x:c r="B57" s="54" t="str">
        <x:v>INV-ENC-HSP-003-008</x:v>
      </x:c>
      <x:c r="C57" s="54" t="str">
        <x:v>TRIAGE-DEMO</x:v>
      </x:c>
      <x:c r="D57" s="54" t="str">
        <x:v>TRIAGE</x:v>
      </x:c>
      <x:c r="E57" s="61" t="str">
        <x:v>Prototype triage service charge</x:v>
      </x:c>
      <x:c r="F57" s="54" t="n">
        <x:v>1</x:v>
      </x:c>
      <x:c r="G57" s="54" t="n">
        <x:v>150</x:v>
      </x:c>
      <x:c r="H57" s="54" t="n">
        <x:v>0</x:v>
      </x:c>
      <x:c r="I57" s="54" t="n">
        <x:v>0</x:v>
      </x:c>
      <x:c r="J57" s="54" t="n">
        <x:v>150</x:v>
      </x:c>
    </x:row>
    <x:row r="58" ht="36" customHeight="1">
      <x:c r="A58" s="54" t="str">
        <x:v>II-ENC-HSP-003-009-01</x:v>
      </x:c>
      <x:c r="B58" s="54" t="str">
        <x:v>INV-ENC-HSP-003-009</x:v>
      </x:c>
      <x:c r="C58" s="54" t="str">
        <x:v>CONSULT-DEMO</x:v>
      </x:c>
      <x:c r="D58" s="54" t="str">
        <x:v>CONSULTATION</x:v>
      </x:c>
      <x:c r="E58" s="61" t="str">
        <x:v>Prototype consultation charge</x:v>
      </x:c>
      <x:c r="F58" s="54" t="n">
        <x:v>1</x:v>
      </x:c>
      <x:c r="G58" s="54" t="n">
        <x:v>300</x:v>
      </x:c>
      <x:c r="H58" s="54" t="n">
        <x:v>0</x:v>
      </x:c>
      <x:c r="I58" s="54" t="n">
        <x:v>0</x:v>
      </x:c>
      <x:c r="J58" s="54" t="n">
        <x:v>300</x:v>
      </x:c>
    </x:row>
    <x:row r="59" ht="36" customHeight="1">
      <x:c r="A59" s="54" t="str">
        <x:v>II-ENC-HSP-003-009-02</x:v>
      </x:c>
      <x:c r="B59" s="54" t="str">
        <x:v>INV-ENC-HSP-003-009</x:v>
      </x:c>
      <x:c r="C59" s="54" t="str">
        <x:v>TRIAGE-DEMO</x:v>
      </x:c>
      <x:c r="D59" s="54" t="str">
        <x:v>TRIAGE</x:v>
      </x:c>
      <x:c r="E59" s="61" t="str">
        <x:v>Prototype triage service charge</x:v>
      </x:c>
      <x:c r="F59" s="54" t="n">
        <x:v>1</x:v>
      </x:c>
      <x:c r="G59" s="54" t="n">
        <x:v>150</x:v>
      </x:c>
      <x:c r="H59" s="54" t="n">
        <x:v>0</x:v>
      </x:c>
      <x:c r="I59" s="54" t="n">
        <x:v>0</x:v>
      </x:c>
      <x:c r="J59" s="54" t="n">
        <x:v>150</x:v>
      </x:c>
    </x:row>
    <x:row r="60" ht="36" customHeight="1">
      <x:c r="A60" s="54" t="str">
        <x:v>II-ENC-HSP-003-010-01</x:v>
      </x:c>
      <x:c r="B60" s="54" t="str">
        <x:v>INV-ENC-HSP-003-010</x:v>
      </x:c>
      <x:c r="C60" s="54" t="str">
        <x:v>CONSULT-DEMO</x:v>
      </x:c>
      <x:c r="D60" s="54" t="str">
        <x:v>CONSULTATION</x:v>
      </x:c>
      <x:c r="E60" s="61" t="str">
        <x:v>Prototype consultation charge</x:v>
      </x:c>
      <x:c r="F60" s="54" t="n">
        <x:v>1</x:v>
      </x:c>
      <x:c r="G60" s="54" t="n">
        <x:v>300</x:v>
      </x:c>
      <x:c r="H60" s="54" t="n">
        <x:v>0</x:v>
      </x:c>
      <x:c r="I60" s="54" t="n">
        <x:v>0</x:v>
      </x:c>
      <x:c r="J60" s="54" t="n">
        <x:v>300</x:v>
      </x:c>
    </x:row>
    <x:row r="61" ht="36" customHeight="1">
      <x:c r="A61" s="54" t="str">
        <x:v>II-ENC-HSP-003-010-02</x:v>
      </x:c>
      <x:c r="B61" s="54" t="str">
        <x:v>INV-ENC-HSP-003-010</x:v>
      </x:c>
      <x:c r="C61" s="54" t="str">
        <x:v>TRIAGE-DEMO</x:v>
      </x:c>
      <x:c r="D61" s="54" t="str">
        <x:v>TRIAGE</x:v>
      </x:c>
      <x:c r="E61" s="61" t="str">
        <x:v>Prototype triage service charge</x:v>
      </x:c>
      <x:c r="F61" s="54" t="n">
        <x:v>1</x:v>
      </x:c>
      <x:c r="G61" s="54" t="n">
        <x:v>150</x:v>
      </x:c>
      <x:c r="H61" s="54" t="n">
        <x:v>0</x:v>
      </x:c>
      <x:c r="I61" s="54" t="n">
        <x:v>0</x:v>
      </x:c>
      <x:c r="J61" s="54" t="n">
        <x:v>150</x:v>
      </x:c>
    </x:row>
    <x:row r="62" ht="36" customHeight="1">
      <x:c r="A62" s="54" t="str">
        <x:v>II-ENC-HSP-004-001-01</x:v>
      </x:c>
      <x:c r="B62" s="54" t="str">
        <x:v>INV-ENC-HSP-004-001</x:v>
      </x:c>
      <x:c r="C62" s="54" t="str">
        <x:v>CONSULT-DEMO</x:v>
      </x:c>
      <x:c r="D62" s="54" t="str">
        <x:v>CONSULTATION</x:v>
      </x:c>
      <x:c r="E62" s="61" t="str">
        <x:v>Prototype consultation charge</x:v>
      </x:c>
      <x:c r="F62" s="54" t="n">
        <x:v>1</x:v>
      </x:c>
      <x:c r="G62" s="54" t="n">
        <x:v>300</x:v>
      </x:c>
      <x:c r="H62" s="54" t="n">
        <x:v>0</x:v>
      </x:c>
      <x:c r="I62" s="54" t="n">
        <x:v>0</x:v>
      </x:c>
      <x:c r="J62" s="54" t="n">
        <x:v>300</x:v>
      </x:c>
    </x:row>
    <x:row r="63" ht="36" customHeight="1">
      <x:c r="A63" s="54" t="str">
        <x:v>II-ENC-HSP-004-001-02</x:v>
      </x:c>
      <x:c r="B63" s="54" t="str">
        <x:v>INV-ENC-HSP-004-001</x:v>
      </x:c>
      <x:c r="C63" s="54" t="str">
        <x:v>TRIAGE-DEMO</x:v>
      </x:c>
      <x:c r="D63" s="54" t="str">
        <x:v>TRIAGE</x:v>
      </x:c>
      <x:c r="E63" s="61" t="str">
        <x:v>Prototype triage service charge</x:v>
      </x:c>
      <x:c r="F63" s="54" t="n">
        <x:v>1</x:v>
      </x:c>
      <x:c r="G63" s="54" t="n">
        <x:v>150</x:v>
      </x:c>
      <x:c r="H63" s="54" t="n">
        <x:v>0</x:v>
      </x:c>
      <x:c r="I63" s="54" t="n">
        <x:v>0</x:v>
      </x:c>
      <x:c r="J63" s="54" t="n">
        <x:v>150</x:v>
      </x:c>
    </x:row>
    <x:row r="64" ht="36" customHeight="1">
      <x:c r="A64" s="54" t="str">
        <x:v>II-ENC-HSP-004-002-01</x:v>
      </x:c>
      <x:c r="B64" s="54" t="str">
        <x:v>INV-ENC-HSP-004-002</x:v>
      </x:c>
      <x:c r="C64" s="54" t="str">
        <x:v>CONSULT-DEMO</x:v>
      </x:c>
      <x:c r="D64" s="54" t="str">
        <x:v>CONSULTATION</x:v>
      </x:c>
      <x:c r="E64" s="61" t="str">
        <x:v>Prototype consultation charge</x:v>
      </x:c>
      <x:c r="F64" s="54" t="n">
        <x:v>1</x:v>
      </x:c>
      <x:c r="G64" s="54" t="n">
        <x:v>300</x:v>
      </x:c>
      <x:c r="H64" s="54" t="n">
        <x:v>0</x:v>
      </x:c>
      <x:c r="I64" s="54" t="n">
        <x:v>0</x:v>
      </x:c>
      <x:c r="J64" s="54" t="n">
        <x:v>300</x:v>
      </x:c>
    </x:row>
    <x:row r="65" ht="36" customHeight="1">
      <x:c r="A65" s="54" t="str">
        <x:v>II-ENC-HSP-004-002-02</x:v>
      </x:c>
      <x:c r="B65" s="54" t="str">
        <x:v>INV-ENC-HSP-004-002</x:v>
      </x:c>
      <x:c r="C65" s="54" t="str">
        <x:v>TRIAGE-DEMO</x:v>
      </x:c>
      <x:c r="D65" s="54" t="str">
        <x:v>TRIAGE</x:v>
      </x:c>
      <x:c r="E65" s="61" t="str">
        <x:v>Prototype triage service charge</x:v>
      </x:c>
      <x:c r="F65" s="54" t="n">
        <x:v>1</x:v>
      </x:c>
      <x:c r="G65" s="54" t="n">
        <x:v>150</x:v>
      </x:c>
      <x:c r="H65" s="54" t="n">
        <x:v>0</x:v>
      </x:c>
      <x:c r="I65" s="54" t="n">
        <x:v>0</x:v>
      </x:c>
      <x:c r="J65" s="54" t="n">
        <x:v>150</x:v>
      </x:c>
    </x:row>
    <x:row r="66" ht="36" customHeight="1">
      <x:c r="A66" s="54" t="str">
        <x:v>II-ENC-HSP-004-003-01</x:v>
      </x:c>
      <x:c r="B66" s="54" t="str">
        <x:v>INV-ENC-HSP-004-003</x:v>
      </x:c>
      <x:c r="C66" s="54" t="str">
        <x:v>CONSULT-DEMO</x:v>
      </x:c>
      <x:c r="D66" s="54" t="str">
        <x:v>CONSULTATION</x:v>
      </x:c>
      <x:c r="E66" s="61" t="str">
        <x:v>Prototype consultation charge</x:v>
      </x:c>
      <x:c r="F66" s="54" t="n">
        <x:v>1</x:v>
      </x:c>
      <x:c r="G66" s="54" t="n">
        <x:v>300</x:v>
      </x:c>
      <x:c r="H66" s="54" t="n">
        <x:v>0</x:v>
      </x:c>
      <x:c r="I66" s="54" t="n">
        <x:v>0</x:v>
      </x:c>
      <x:c r="J66" s="54" t="n">
        <x:v>300</x:v>
      </x:c>
    </x:row>
    <x:row r="67" ht="36" customHeight="1">
      <x:c r="A67" s="54" t="str">
        <x:v>II-ENC-HSP-004-003-02</x:v>
      </x:c>
      <x:c r="B67" s="54" t="str">
        <x:v>INV-ENC-HSP-004-003</x:v>
      </x:c>
      <x:c r="C67" s="54" t="str">
        <x:v>TRIAGE-DEMO</x:v>
      </x:c>
      <x:c r="D67" s="54" t="str">
        <x:v>TRIAGE</x:v>
      </x:c>
      <x:c r="E67" s="61" t="str">
        <x:v>Prototype triage service charge</x:v>
      </x:c>
      <x:c r="F67" s="54" t="n">
        <x:v>1</x:v>
      </x:c>
      <x:c r="G67" s="54" t="n">
        <x:v>150</x:v>
      </x:c>
      <x:c r="H67" s="54" t="n">
        <x:v>0</x:v>
      </x:c>
      <x:c r="I67" s="54" t="n">
        <x:v>0</x:v>
      </x:c>
      <x:c r="J67" s="54" t="n">
        <x:v>150</x:v>
      </x:c>
    </x:row>
    <x:row r="68" ht="36" customHeight="1">
      <x:c r="A68" s="54" t="str">
        <x:v>II-ENC-HSP-004-004-01</x:v>
      </x:c>
      <x:c r="B68" s="54" t="str">
        <x:v>INV-ENC-HSP-004-004</x:v>
      </x:c>
      <x:c r="C68" s="54" t="str">
        <x:v>CONSULT-DEMO</x:v>
      </x:c>
      <x:c r="D68" s="54" t="str">
        <x:v>CONSULTATION</x:v>
      </x:c>
      <x:c r="E68" s="61" t="str">
        <x:v>Prototype consultation charge</x:v>
      </x:c>
      <x:c r="F68" s="54" t="n">
        <x:v>1</x:v>
      </x:c>
      <x:c r="G68" s="54" t="n">
        <x:v>300</x:v>
      </x:c>
      <x:c r="H68" s="54" t="n">
        <x:v>0</x:v>
      </x:c>
      <x:c r="I68" s="54" t="n">
        <x:v>0</x:v>
      </x:c>
      <x:c r="J68" s="54" t="n">
        <x:v>300</x:v>
      </x:c>
    </x:row>
    <x:row r="69" ht="36" customHeight="1">
      <x:c r="A69" s="54" t="str">
        <x:v>II-ENC-HSP-004-004-02</x:v>
      </x:c>
      <x:c r="B69" s="54" t="str">
        <x:v>INV-ENC-HSP-004-004</x:v>
      </x:c>
      <x:c r="C69" s="54" t="str">
        <x:v>TRIAGE-DEMO</x:v>
      </x:c>
      <x:c r="D69" s="54" t="str">
        <x:v>TRIAGE</x:v>
      </x:c>
      <x:c r="E69" s="61" t="str">
        <x:v>Prototype triage service charge</x:v>
      </x:c>
      <x:c r="F69" s="54" t="n">
        <x:v>1</x:v>
      </x:c>
      <x:c r="G69" s="54" t="n">
        <x:v>150</x:v>
      </x:c>
      <x:c r="H69" s="54" t="n">
        <x:v>0</x:v>
      </x:c>
      <x:c r="I69" s="54" t="n">
        <x:v>0</x:v>
      </x:c>
      <x:c r="J69" s="54" t="n">
        <x:v>150</x:v>
      </x:c>
    </x:row>
    <x:row r="70" ht="36" customHeight="1">
      <x:c r="A70" s="54" t="str">
        <x:v>II-ENC-HSP-004-005-01</x:v>
      </x:c>
      <x:c r="B70" s="54" t="str">
        <x:v>INV-ENC-HSP-004-005</x:v>
      </x:c>
      <x:c r="C70" s="54" t="str">
        <x:v>CONSULT-DEMO</x:v>
      </x:c>
      <x:c r="D70" s="54" t="str">
        <x:v>CONSULTATION</x:v>
      </x:c>
      <x:c r="E70" s="61" t="str">
        <x:v>Prototype consultation charge</x:v>
      </x:c>
      <x:c r="F70" s="54" t="n">
        <x:v>1</x:v>
      </x:c>
      <x:c r="G70" s="54" t="n">
        <x:v>300</x:v>
      </x:c>
      <x:c r="H70" s="54" t="n">
        <x:v>0</x:v>
      </x:c>
      <x:c r="I70" s="54" t="n">
        <x:v>0</x:v>
      </x:c>
      <x:c r="J70" s="54" t="n">
        <x:v>300</x:v>
      </x:c>
    </x:row>
    <x:row r="71" ht="36" customHeight="1">
      <x:c r="A71" s="54" t="str">
        <x:v>II-ENC-HSP-004-005-02</x:v>
      </x:c>
      <x:c r="B71" s="54" t="str">
        <x:v>INV-ENC-HSP-004-005</x:v>
      </x:c>
      <x:c r="C71" s="54" t="str">
        <x:v>TRIAGE-DEMO</x:v>
      </x:c>
      <x:c r="D71" s="54" t="str">
        <x:v>TRIAGE</x:v>
      </x:c>
      <x:c r="E71" s="61" t="str">
        <x:v>Prototype triage service charge</x:v>
      </x:c>
      <x:c r="F71" s="54" t="n">
        <x:v>1</x:v>
      </x:c>
      <x:c r="G71" s="54" t="n">
        <x:v>150</x:v>
      </x:c>
      <x:c r="H71" s="54" t="n">
        <x:v>0</x:v>
      </x:c>
      <x:c r="I71" s="54" t="n">
        <x:v>0</x:v>
      </x:c>
      <x:c r="J71" s="54" t="n">
        <x:v>150</x:v>
      </x:c>
    </x:row>
    <x:row r="72" ht="36" customHeight="1">
      <x:c r="A72" s="54" t="str">
        <x:v>II-ENC-HSP-004-006-01</x:v>
      </x:c>
      <x:c r="B72" s="54" t="str">
        <x:v>INV-ENC-HSP-004-006</x:v>
      </x:c>
      <x:c r="C72" s="54" t="str">
        <x:v>CONSULT-DEMO</x:v>
      </x:c>
      <x:c r="D72" s="54" t="str">
        <x:v>CONSULTATION</x:v>
      </x:c>
      <x:c r="E72" s="61" t="str">
        <x:v>Prototype consultation charge</x:v>
      </x:c>
      <x:c r="F72" s="54" t="n">
        <x:v>1</x:v>
      </x:c>
      <x:c r="G72" s="54" t="n">
        <x:v>300</x:v>
      </x:c>
      <x:c r="H72" s="54" t="n">
        <x:v>0</x:v>
      </x:c>
      <x:c r="I72" s="54" t="n">
        <x:v>0</x:v>
      </x:c>
      <x:c r="J72" s="54" t="n">
        <x:v>300</x:v>
      </x:c>
    </x:row>
    <x:row r="73" ht="36" customHeight="1">
      <x:c r="A73" s="54" t="str">
        <x:v>II-ENC-HSP-004-006-02</x:v>
      </x:c>
      <x:c r="B73" s="54" t="str">
        <x:v>INV-ENC-HSP-004-006</x:v>
      </x:c>
      <x:c r="C73" s="54" t="str">
        <x:v>TRIAGE-DEMO</x:v>
      </x:c>
      <x:c r="D73" s="54" t="str">
        <x:v>TRIAGE</x:v>
      </x:c>
      <x:c r="E73" s="61" t="str">
        <x:v>Prototype triage service charge</x:v>
      </x:c>
      <x:c r="F73" s="54" t="n">
        <x:v>1</x:v>
      </x:c>
      <x:c r="G73" s="54" t="n">
        <x:v>250</x:v>
      </x:c>
      <x:c r="H73" s="54" t="n">
        <x:v>0</x:v>
      </x:c>
      <x:c r="I73" s="54" t="n">
        <x:v>0</x:v>
      </x:c>
      <x:c r="J73" s="54" t="n">
        <x:v>250</x:v>
      </x:c>
    </x:row>
    <x:row r="74" ht="36" customHeight="1">
      <x:c r="A74" s="54" t="str">
        <x:v>II-ENC-HSP-004-007-01</x:v>
      </x:c>
      <x:c r="B74" s="54" t="str">
        <x:v>INV-ENC-HSP-004-007</x:v>
      </x:c>
      <x:c r="C74" s="54" t="str">
        <x:v>CONSULT-DEMO</x:v>
      </x:c>
      <x:c r="D74" s="54" t="str">
        <x:v>CONSULTATION</x:v>
      </x:c>
      <x:c r="E74" s="61" t="str">
        <x:v>Prototype consultation charge</x:v>
      </x:c>
      <x:c r="F74" s="54" t="n">
        <x:v>1</x:v>
      </x:c>
      <x:c r="G74" s="54" t="n">
        <x:v>300</x:v>
      </x:c>
      <x:c r="H74" s="54" t="n">
        <x:v>0</x:v>
      </x:c>
      <x:c r="I74" s="54" t="n">
        <x:v>0</x:v>
      </x:c>
      <x:c r="J74" s="54" t="n">
        <x:v>300</x:v>
      </x:c>
    </x:row>
    <x:row r="75" ht="36" customHeight="1">
      <x:c r="A75" s="54" t="str">
        <x:v>II-ENC-HSP-004-007-02</x:v>
      </x:c>
      <x:c r="B75" s="54" t="str">
        <x:v>INV-ENC-HSP-004-007</x:v>
      </x:c>
      <x:c r="C75" s="54" t="str">
        <x:v>TRIAGE-DEMO</x:v>
      </x:c>
      <x:c r="D75" s="54" t="str">
        <x:v>TRIAGE</x:v>
      </x:c>
      <x:c r="E75" s="61" t="str">
        <x:v>Prototype triage service charge</x:v>
      </x:c>
      <x:c r="F75" s="54" t="n">
        <x:v>1</x:v>
      </x:c>
      <x:c r="G75" s="54" t="n">
        <x:v>250</x:v>
      </x:c>
      <x:c r="H75" s="54" t="n">
        <x:v>0</x:v>
      </x:c>
      <x:c r="I75" s="54" t="n">
        <x:v>0</x:v>
      </x:c>
      <x:c r="J75" s="54" t="n">
        <x:v>250</x:v>
      </x:c>
    </x:row>
    <x:row r="76" ht="36" customHeight="1">
      <x:c r="A76" s="54" t="str">
        <x:v>II-ENC-HSP-004-008-01</x:v>
      </x:c>
      <x:c r="B76" s="54" t="str">
        <x:v>INV-ENC-HSP-004-008</x:v>
      </x:c>
      <x:c r="C76" s="54" t="str">
        <x:v>CONSULT-DEMO</x:v>
      </x:c>
      <x:c r="D76" s="54" t="str">
        <x:v>CONSULTATION</x:v>
      </x:c>
      <x:c r="E76" s="61" t="str">
        <x:v>Prototype consultation charge</x:v>
      </x:c>
      <x:c r="F76" s="54" t="n">
        <x:v>1</x:v>
      </x:c>
      <x:c r="G76" s="54" t="n">
        <x:v>300</x:v>
      </x:c>
      <x:c r="H76" s="54" t="n">
        <x:v>0</x:v>
      </x:c>
      <x:c r="I76" s="54" t="n">
        <x:v>0</x:v>
      </x:c>
      <x:c r="J76" s="54" t="n">
        <x:v>300</x:v>
      </x:c>
    </x:row>
    <x:row r="77" ht="36" customHeight="1">
      <x:c r="A77" s="54" t="str">
        <x:v>II-ENC-HSP-004-008-02</x:v>
      </x:c>
      <x:c r="B77" s="54" t="str">
        <x:v>INV-ENC-HSP-004-008</x:v>
      </x:c>
      <x:c r="C77" s="54" t="str">
        <x:v>TRIAGE-DEMO</x:v>
      </x:c>
      <x:c r="D77" s="54" t="str">
        <x:v>TRIAGE</x:v>
      </x:c>
      <x:c r="E77" s="61" t="str">
        <x:v>Prototype triage service charge</x:v>
      </x:c>
      <x:c r="F77" s="54" t="n">
        <x:v>1</x:v>
      </x:c>
      <x:c r="G77" s="54" t="n">
        <x:v>150</x:v>
      </x:c>
      <x:c r="H77" s="54" t="n">
        <x:v>0</x:v>
      </x:c>
      <x:c r="I77" s="54" t="n">
        <x:v>0</x:v>
      </x:c>
      <x:c r="J77" s="54" t="n">
        <x:v>150</x:v>
      </x:c>
    </x:row>
    <x:row r="78" ht="36" customHeight="1">
      <x:c r="A78" s="54" t="str">
        <x:v>II-ENC-HSP-004-009-01</x:v>
      </x:c>
      <x:c r="B78" s="54" t="str">
        <x:v>INV-ENC-HSP-004-009</x:v>
      </x:c>
      <x:c r="C78" s="54" t="str">
        <x:v>CONSULT-DEMO</x:v>
      </x:c>
      <x:c r="D78" s="54" t="str">
        <x:v>CONSULTATION</x:v>
      </x:c>
      <x:c r="E78" s="61" t="str">
        <x:v>Prototype consultation charge</x:v>
      </x:c>
      <x:c r="F78" s="54" t="n">
        <x:v>1</x:v>
      </x:c>
      <x:c r="G78" s="54" t="n">
        <x:v>300</x:v>
      </x:c>
      <x:c r="H78" s="54" t="n">
        <x:v>0</x:v>
      </x:c>
      <x:c r="I78" s="54" t="n">
        <x:v>0</x:v>
      </x:c>
      <x:c r="J78" s="54" t="n">
        <x:v>300</x:v>
      </x:c>
    </x:row>
    <x:row r="79" ht="36" customHeight="1">
      <x:c r="A79" s="54" t="str">
        <x:v>II-ENC-HSP-004-009-02</x:v>
      </x:c>
      <x:c r="B79" s="54" t="str">
        <x:v>INV-ENC-HSP-004-009</x:v>
      </x:c>
      <x:c r="C79" s="54" t="str">
        <x:v>TRIAGE-DEMO</x:v>
      </x:c>
      <x:c r="D79" s="54" t="str">
        <x:v>TRIAGE</x:v>
      </x:c>
      <x:c r="E79" s="61" t="str">
        <x:v>Prototype triage service charge</x:v>
      </x:c>
      <x:c r="F79" s="54" t="n">
        <x:v>1</x:v>
      </x:c>
      <x:c r="G79" s="54" t="n">
        <x:v>150</x:v>
      </x:c>
      <x:c r="H79" s="54" t="n">
        <x:v>0</x:v>
      </x:c>
      <x:c r="I79" s="54" t="n">
        <x:v>0</x:v>
      </x:c>
      <x:c r="J79" s="54" t="n">
        <x:v>150</x:v>
      </x:c>
    </x:row>
    <x:row r="80" ht="36" customHeight="1">
      <x:c r="A80" s="54" t="str">
        <x:v>II-ENC-HSP-004-010-01</x:v>
      </x:c>
      <x:c r="B80" s="54" t="str">
        <x:v>INV-ENC-HSP-004-010</x:v>
      </x:c>
      <x:c r="C80" s="54" t="str">
        <x:v>CONSULT-DEMO</x:v>
      </x:c>
      <x:c r="D80" s="54" t="str">
        <x:v>CONSULTATION</x:v>
      </x:c>
      <x:c r="E80" s="61" t="str">
        <x:v>Prototype consultation charge</x:v>
      </x:c>
      <x:c r="F80" s="54" t="n">
        <x:v>1</x:v>
      </x:c>
      <x:c r="G80" s="54" t="n">
        <x:v>300</x:v>
      </x:c>
      <x:c r="H80" s="54" t="n">
        <x:v>0</x:v>
      </x:c>
      <x:c r="I80" s="54" t="n">
        <x:v>0</x:v>
      </x:c>
      <x:c r="J80" s="54" t="n">
        <x:v>300</x:v>
      </x:c>
    </x:row>
    <x:row r="81" ht="36" customHeight="1">
      <x:c r="A81" s="56" t="str">
        <x:v>II-ENC-HSP-004-010-02</x:v>
      </x:c>
      <x:c r="B81" s="56" t="str">
        <x:v>INV-ENC-HSP-004-010</x:v>
      </x:c>
      <x:c r="C81" s="56" t="str">
        <x:v>TRIAGE-DEMO</x:v>
      </x:c>
      <x:c r="D81" s="56" t="str">
        <x:v>TRIAGE</x:v>
      </x:c>
      <x:c r="E81" s="62" t="str">
        <x:v>Prototype triage service charge</x:v>
      </x:c>
      <x:c r="F81" s="56" t="n">
        <x:v>1</x:v>
      </x:c>
      <x:c r="G81" s="56" t="n">
        <x:v>250</x:v>
      </x:c>
      <x:c r="H81" s="56" t="n">
        <x:v>0</x:v>
      </x:c>
      <x:c r="I81" s="56" t="n">
        <x:v>0</x:v>
      </x:c>
      <x:c r="J81" s="56" t="n">
        <x:v>250</x:v>
      </x:c>
    </x:row>
  </x:sheetData>
  <x:pageMargins left="0.7" right="0.7" top="0.75" bottom="0.75" header="0.3" footer="0.3"/>
  <x:tableParts count="1">
    <x:tablePart xmlns:r="http://schemas.openxmlformats.org/officeDocument/2006/relationships" r:id="Rab579641cf454e8a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38" hidden="0" customWidth="1"/>
    <x:col min="8" max="8" width="18" hidden="0" customWidth="1"/>
    <x:col min="9" max="9" width="20" hidden="0" customWidth="1"/>
    <x:col min="10" max="10" width="16" hidden="0" customWidth="1"/>
    <x:col min="11" max="11" width="18" hidden="0" customWidth="1"/>
  </x:cols>
  <x:sheetData>
    <x:row r="1" ht="34" customHeight="1">
      <x:c r="A1" s="53" t="str">
        <x:v>feedback_id</x:v>
      </x:c>
      <x:c r="B1" s="53" t="str">
        <x:v>hospital_id</x:v>
      </x:c>
      <x:c r="C1" s="53" t="str">
        <x:v>encounter_id</x:v>
      </x:c>
      <x:c r="D1" s="53" t="str">
        <x:v>patient_id</x:v>
      </x:c>
      <x:c r="E1" s="53" t="str">
        <x:v>category</x:v>
      </x:c>
      <x:c r="F1" s="53" t="str">
        <x:v>rating_1_5</x:v>
      </x:c>
      <x:c r="G1" s="53" t="str">
        <x:v>message</x:v>
      </x:c>
      <x:c r="H1" s="53" t="str">
        <x:v>contact_permission</x:v>
      </x:c>
      <x:c r="I1" s="53" t="str">
        <x:v>status</x:v>
      </x:c>
      <x:c r="J1" s="63" t="str">
        <x:v>created_at</x:v>
      </x:c>
      <x:c r="K1" s="53" t="str">
        <x:v>is_synthetic</x:v>
      </x:c>
    </x:row>
    <x:row r="2" ht="36" customHeight="1">
      <x:c r="A2" s="54" t="str">
        <x:v>FB-ENC-HSP-001-009</x:v>
      </x:c>
      <x:c r="B2" s="54" t="str">
        <x:v>HSP-001</x:v>
      </x:c>
      <x:c r="C2" s="54" t="str">
        <x:v>ENC-HSP-001-009</x:v>
      </x:c>
      <x:c r="D2" s="54" t="str">
        <x:v>HSP-001-P009</x:v>
      </x:c>
      <x:c r="E2" s="54" t="str">
        <x:v>QUEUE</x:v>
      </x:c>
      <x:c r="F2" s="54" t="n">
        <x:v>3</x:v>
      </x:c>
      <x:c r="G2" s="61" t="str">
        <x:v>Demo feedback: clearer wait estimate requested</x:v>
      </x:c>
      <x:c r="H2" s="55" t="b">
        <x:v>0</x:v>
      </x:c>
      <x:c r="I2" s="54" t="str">
        <x:v>NEW</x:v>
      </x:c>
      <x:c r="J2" s="64" t="n">
        <x:v>46267.44305555556</x:v>
      </x:c>
      <x:c r="K2" s="55" t="b">
        <x:v>1</x:v>
      </x:c>
    </x:row>
    <x:row r="3" ht="36" customHeight="1">
      <x:c r="A3" s="54" t="str">
        <x:v>FB-ENC-HSP-001-010</x:v>
      </x:c>
      <x:c r="B3" s="54" t="str">
        <x:v>HSP-001</x:v>
      </x:c>
      <x:c r="C3" s="54" t="str">
        <x:v>ENC-HSP-001-010</x:v>
      </x:c>
      <x:c r="D3" s="54" t="str">
        <x:v>HSP-001-P010</x:v>
      </x:c>
      <x:c r="E3" s="54" t="str">
        <x:v>APP</x:v>
      </x:c>
      <x:c r="F3" s="54" t="n">
        <x:v>4</x:v>
      </x:c>
      <x:c r="G3" s="61" t="str">
        <x:v>Demo feedback: intake steps were easy to follow</x:v>
      </x:c>
      <x:c r="H3" s="55" t="b">
        <x:v>0</x:v>
      </x:c>
      <x:c r="I3" s="54" t="str">
        <x:v>NEW</x:v>
      </x:c>
      <x:c r="J3" s="64" t="n">
        <x:v>46267.447916666664</x:v>
      </x:c>
      <x:c r="K3" s="55" t="b">
        <x:v>1</x:v>
      </x:c>
    </x:row>
    <x:row r="4" ht="36" customHeight="1">
      <x:c r="A4" s="54" t="str">
        <x:v>FB-ENC-HSP-002-009</x:v>
      </x:c>
      <x:c r="B4" s="54" t="str">
        <x:v>HSP-002</x:v>
      </x:c>
      <x:c r="C4" s="54" t="str">
        <x:v>ENC-HSP-002-009</x:v>
      </x:c>
      <x:c r="D4" s="54" t="str">
        <x:v>HSP-002-P009</x:v>
      </x:c>
      <x:c r="E4" s="54" t="str">
        <x:v>QUEUE</x:v>
      </x:c>
      <x:c r="F4" s="54" t="n">
        <x:v>3</x:v>
      </x:c>
      <x:c r="G4" s="61" t="str">
        <x:v>Demo feedback: clearer wait estimate requested</x:v>
      </x:c>
      <x:c r="H4" s="55" t="b">
        <x:v>0</x:v>
      </x:c>
      <x:c r="I4" s="54" t="str">
        <x:v>NEW</x:v>
      </x:c>
      <x:c r="J4" s="64" t="n">
        <x:v>46267.44513888889</x:v>
      </x:c>
      <x:c r="K4" s="55" t="b">
        <x:v>1</x:v>
      </x:c>
    </x:row>
    <x:row r="5" ht="36" customHeight="1">
      <x:c r="A5" s="54" t="str">
        <x:v>FB-ENC-HSP-002-010</x:v>
      </x:c>
      <x:c r="B5" s="54" t="str">
        <x:v>HSP-002</x:v>
      </x:c>
      <x:c r="C5" s="54" t="str">
        <x:v>ENC-HSP-002-010</x:v>
      </x:c>
      <x:c r="D5" s="54" t="str">
        <x:v>HSP-002-P010</x:v>
      </x:c>
      <x:c r="E5" s="54" t="str">
        <x:v>APP</x:v>
      </x:c>
      <x:c r="F5" s="54" t="n">
        <x:v>4</x:v>
      </x:c>
      <x:c r="G5" s="61" t="str">
        <x:v>Demo feedback: intake steps were easy to follow</x:v>
      </x:c>
      <x:c r="H5" s="55" t="b">
        <x:v>0</x:v>
      </x:c>
      <x:c r="I5" s="54" t="str">
        <x:v>NEW</x:v>
      </x:c>
      <x:c r="J5" s="64" t="n">
        <x:v>46267.45</x:v>
      </x:c>
      <x:c r="K5" s="55" t="b">
        <x:v>1</x:v>
      </x:c>
    </x:row>
    <x:row r="6" ht="36" customHeight="1">
      <x:c r="A6" s="54" t="str">
        <x:v>FB-ENC-HSP-003-009</x:v>
      </x:c>
      <x:c r="B6" s="54" t="str">
        <x:v>HSP-003</x:v>
      </x:c>
      <x:c r="C6" s="54" t="str">
        <x:v>ENC-HSP-003-009</x:v>
      </x:c>
      <x:c r="D6" s="54" t="str">
        <x:v>HSP-003-P009</x:v>
      </x:c>
      <x:c r="E6" s="54" t="str">
        <x:v>QUEUE</x:v>
      </x:c>
      <x:c r="F6" s="54" t="n">
        <x:v>3</x:v>
      </x:c>
      <x:c r="G6" s="61" t="str">
        <x:v>Demo feedback: clearer wait estimate requested</x:v>
      </x:c>
      <x:c r="H6" s="55" t="b">
        <x:v>0</x:v>
      </x:c>
      <x:c r="I6" s="54" t="str">
        <x:v>NEW</x:v>
      </x:c>
      <x:c r="J6" s="64" t="n">
        <x:v>46267.447222222225</x:v>
      </x:c>
      <x:c r="K6" s="55" t="b">
        <x:v>1</x:v>
      </x:c>
    </x:row>
    <x:row r="7" ht="36" customHeight="1">
      <x:c r="A7" s="54" t="str">
        <x:v>FB-ENC-HSP-003-010</x:v>
      </x:c>
      <x:c r="B7" s="54" t="str">
        <x:v>HSP-003</x:v>
      </x:c>
      <x:c r="C7" s="54" t="str">
        <x:v>ENC-HSP-003-010</x:v>
      </x:c>
      <x:c r="D7" s="54" t="str">
        <x:v>HSP-003-P010</x:v>
      </x:c>
      <x:c r="E7" s="54" t="str">
        <x:v>APP</x:v>
      </x:c>
      <x:c r="F7" s="54" t="n">
        <x:v>4</x:v>
      </x:c>
      <x:c r="G7" s="61" t="str">
        <x:v>Demo feedback: intake steps were easy to follow</x:v>
      </x:c>
      <x:c r="H7" s="55" t="b">
        <x:v>0</x:v>
      </x:c>
      <x:c r="I7" s="54" t="str">
        <x:v>NEW</x:v>
      </x:c>
      <x:c r="J7" s="64" t="n">
        <x:v>46267.45208333333</x:v>
      </x:c>
      <x:c r="K7" s="55" t="b">
        <x:v>1</x:v>
      </x:c>
    </x:row>
    <x:row r="8" ht="36" customHeight="1">
      <x:c r="A8" s="54" t="str">
        <x:v>FB-ENC-HSP-004-009</x:v>
      </x:c>
      <x:c r="B8" s="54" t="str">
        <x:v>HSP-004</x:v>
      </x:c>
      <x:c r="C8" s="54" t="str">
        <x:v>ENC-HSP-004-009</x:v>
      </x:c>
      <x:c r="D8" s="54" t="str">
        <x:v>HSP-004-P009</x:v>
      </x:c>
      <x:c r="E8" s="54" t="str">
        <x:v>QUEUE</x:v>
      </x:c>
      <x:c r="F8" s="54" t="n">
        <x:v>3</x:v>
      </x:c>
      <x:c r="G8" s="61" t="str">
        <x:v>Demo feedback: clearer wait estimate requested</x:v>
      </x:c>
      <x:c r="H8" s="55" t="b">
        <x:v>0</x:v>
      </x:c>
      <x:c r="I8" s="54" t="str">
        <x:v>NEW</x:v>
      </x:c>
      <x:c r="J8" s="64" t="n">
        <x:v>46267.44930555556</x:v>
      </x:c>
      <x:c r="K8" s="55" t="b">
        <x:v>1</x:v>
      </x:c>
    </x:row>
    <x:row r="9" ht="36" customHeight="1">
      <x:c r="A9" s="56" t="str">
        <x:v>FB-ENC-HSP-004-010</x:v>
      </x:c>
      <x:c r="B9" s="56" t="str">
        <x:v>HSP-004</x:v>
      </x:c>
      <x:c r="C9" s="56" t="str">
        <x:v>ENC-HSP-004-010</x:v>
      </x:c>
      <x:c r="D9" s="56" t="str">
        <x:v>HSP-004-P010</x:v>
      </x:c>
      <x:c r="E9" s="56" t="str">
        <x:v>APP</x:v>
      </x:c>
      <x:c r="F9" s="56" t="n">
        <x:v>4</x:v>
      </x:c>
      <x:c r="G9" s="62" t="str">
        <x:v>Demo feedback: intake steps were easy to follow</x:v>
      </x:c>
      <x:c r="H9" s="57" t="b">
        <x:v>0</x:v>
      </x:c>
      <x:c r="I9" s="56" t="str">
        <x:v>NEW</x:v>
      </x:c>
      <x:c r="J9" s="65" t="n">
        <x:v>46267.45416666667</x:v>
      </x:c>
      <x:c r="K9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ef2ae373ad4439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8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20" hidden="0" customWidth="1"/>
    <x:col min="11" max="11" width="36" hidden="0" customWidth="1"/>
    <x:col min="12" max="12" width="18" hidden="0" customWidth="1"/>
  </x:cols>
  <x:sheetData>
    <x:row r="1" ht="34" customHeight="1">
      <x:c r="A1" s="53" t="str">
        <x:v>seed_account_key</x:v>
      </x:c>
      <x:c r="B1" s="53" t="str">
        <x:v>login_email</x:v>
      </x:c>
      <x:c r="C1" s="53" t="str">
        <x:v>display_name</x:v>
      </x:c>
      <x:c r="D1" s="53" t="str">
        <x:v>account_type</x:v>
      </x:c>
      <x:c r="E1" s="53" t="str">
        <x:v>role_code</x:v>
      </x:c>
      <x:c r="F1" s="53" t="str">
        <x:v>hospital_id</x:v>
      </x:c>
      <x:c r="G1" s="53" t="str">
        <x:v>staff_id</x:v>
      </x:c>
      <x:c r="H1" s="53" t="str">
        <x:v>patient_id</x:v>
      </x:c>
      <x:c r="I1" s="53" t="str">
        <x:v>preferred_language</x:v>
      </x:c>
      <x:c r="J1" s="53" t="str">
        <x:v>provisioning_status</x:v>
      </x:c>
      <x:c r="K1" s="53" t="str">
        <x:v>password_storage</x:v>
      </x:c>
      <x:c r="L1" s="53" t="str">
        <x:v>is_synthetic</x:v>
      </x:c>
    </x:row>
    <x:row r="2" ht="28" customHeight="1">
      <x:c r="A2" s="54" t="str">
        <x:v>AUTH-SUPER-001</x:v>
      </x:c>
      <x:c r="B2" s="54" t="str">
        <x:v>superadmin@resilicare.test</x:v>
      </x:c>
      <x:c r="C2" s="54" t="str">
        <x:v>ResiliCare Demo Super Administrator</x:v>
      </x:c>
      <x:c r="D2" s="54" t="str">
        <x:v>SUPER_ADMIN</x:v>
      </x:c>
      <x:c r="E2" s="54" t="str">
        <x:v>SUPER_ADMIN</x:v>
      </x:c>
      <x:c r="F2" s="54"/>
      <x:c r="G2" s="54"/>
      <x:c r="H2" s="54"/>
      <x:c r="I2" s="54" t="str">
        <x:v>en-IN</x:v>
      </x:c>
      <x:c r="J2" s="54" t="str">
        <x:v>TO_PROVISION</x:v>
      </x:c>
      <x:c r="K2" s="54" t="str">
        <x:v>NOT_STORED_USE_ENVIRONMENT_SECRET</x:v>
      </x:c>
      <x:c r="L2" s="55" t="b">
        <x:v>1</x:v>
      </x:c>
    </x:row>
    <x:row r="3" ht="28" customHeight="1">
      <x:c r="A3" s="54" t="str">
        <x:v>AUTH-HSP-001-ADMIN</x:v>
      </x:c>
      <x:c r="B3" s="54" t="str">
        <x:v>admin.hsp001@resilicare.test</x:v>
      </x:c>
      <x:c r="C3" s="54" t="str">
        <x:v>ResiliCare Central Hospital Demo Administrator</x:v>
      </x:c>
      <x:c r="D3" s="54" t="str">
        <x:v>HOSPITAL_ADMIN</x:v>
      </x:c>
      <x:c r="E3" s="54" t="str">
        <x:v>HOSPITAL_ADMIN</x:v>
      </x:c>
      <x:c r="F3" s="54" t="str">
        <x:v>HSP-001</x:v>
      </x:c>
      <x:c r="G3" s="54"/>
      <x:c r="H3" s="54"/>
      <x:c r="I3" s="54" t="str">
        <x:v>en-IN</x:v>
      </x:c>
      <x:c r="J3" s="54" t="str">
        <x:v>TO_PROVISION</x:v>
      </x:c>
      <x:c r="K3" s="54" t="str">
        <x:v>NOT_STORED_USE_ENVIRONMENT_SECRET</x:v>
      </x:c>
      <x:c r="L3" s="55" t="b">
        <x:v>1</x:v>
      </x:c>
    </x:row>
    <x:row r="4" ht="28" customHeight="1">
      <x:c r="A4" s="54" t="str">
        <x:v>AUTH-HSP-001-DOCTOR</x:v>
      </x:c>
      <x:c r="B4" s="54" t="str">
        <x:v>doctor.hsp001@resilicare.test</x:v>
      </x:c>
      <x:c r="C4" s="54" t="str">
        <x:v>Aarav Mehta</x:v>
      </x:c>
      <x:c r="D4" s="54" t="str">
        <x:v>STAFF</x:v>
      </x:c>
      <x:c r="E4" s="54" t="str">
        <x:v>DOCTOR</x:v>
      </x:c>
      <x:c r="F4" s="54" t="str">
        <x:v>HSP-001</x:v>
      </x:c>
      <x:c r="G4" s="54" t="str">
        <x:v>HSP-001-D01</x:v>
      </x:c>
      <x:c r="H4" s="54"/>
      <x:c r="I4" s="54" t="str">
        <x:v>en-IN</x:v>
      </x:c>
      <x:c r="J4" s="54" t="str">
        <x:v>TO_PROVISION</x:v>
      </x:c>
      <x:c r="K4" s="54" t="str">
        <x:v>NOT_STORED_USE_ENVIRONMENT_SECRET</x:v>
      </x:c>
      <x:c r="L4" s="55" t="b">
        <x:v>1</x:v>
      </x:c>
    </x:row>
    <x:row r="5" ht="28" customHeight="1">
      <x:c r="A5" s="54" t="str">
        <x:v>AUTH-HSP-001-SUPPORT</x:v>
      </x:c>
      <x:c r="B5" s="54" t="str">
        <x:v>support.hsp001@resilicare.test</x:v>
      </x:c>
      <x:c r="C5" s="54" t="str">
        <x:v>Ananya Iyer</x:v>
      </x:c>
      <x:c r="D5" s="54" t="str">
        <x:v>STAFF</x:v>
      </x:c>
      <x:c r="E5" s="54" t="str">
        <x:v>NURSE</x:v>
      </x:c>
      <x:c r="F5" s="54" t="str">
        <x:v>HSP-001</x:v>
      </x:c>
      <x:c r="G5" s="54" t="str">
        <x:v>HSP-001-N01</x:v>
      </x:c>
      <x:c r="H5" s="54"/>
      <x:c r="I5" s="54" t="str">
        <x:v>en-IN</x:v>
      </x:c>
      <x:c r="J5" s="54" t="str">
        <x:v>TO_PROVISION</x:v>
      </x:c>
      <x:c r="K5" s="54" t="str">
        <x:v>NOT_STORED_USE_ENVIRONMENT_SECRET</x:v>
      </x:c>
      <x:c r="L5" s="55" t="b">
        <x:v>1</x:v>
      </x:c>
    </x:row>
    <x:row r="6" ht="28" customHeight="1">
      <x:c r="A6" s="54" t="str">
        <x:v>AUTH-HSP-001-PATIENT</x:v>
      </x:c>
      <x:c r="B6" s="54" t="str">
        <x:v>patient.hsp001@resilicare.test</x:v>
      </x:c>
      <x:c r="C6" s="54" t="str">
        <x:v>Aanya Chauhan</x:v>
      </x:c>
      <x:c r="D6" s="54" t="str">
        <x:v>PATIENT</x:v>
      </x:c>
      <x:c r="E6" s="54" t="str">
        <x:v>PATIENT</x:v>
      </x:c>
      <x:c r="F6" s="54" t="str">
        <x:v>HSP-001</x:v>
      </x:c>
      <x:c r="G6" s="54"/>
      <x:c r="H6" s="54" t="str">
        <x:v>HSP-001-P001</x:v>
      </x:c>
      <x:c r="I6" s="54" t="str">
        <x:v>en-IN</x:v>
      </x:c>
      <x:c r="J6" s="54" t="str">
        <x:v>TO_PROVISION</x:v>
      </x:c>
      <x:c r="K6" s="54" t="str">
        <x:v>NOT_STORED_USE_ENVIRONMENT_SECRET</x:v>
      </x:c>
      <x:c r="L6" s="55" t="b">
        <x:v>1</x:v>
      </x:c>
    </x:row>
    <x:row r="7" ht="28" customHeight="1">
      <x:c r="A7" s="54" t="str">
        <x:v>AUTH-HSP-002-ADMIN</x:v>
      </x:c>
      <x:c r="B7" s="54" t="str">
        <x:v>admin.hsp002@resilicare.test</x:v>
      </x:c>
      <x:c r="C7" s="54" t="str">
        <x:v>ResiliCare Metro Hospital Demo Administrator</x:v>
      </x:c>
      <x:c r="D7" s="54" t="str">
        <x:v>HOSPITAL_ADMIN</x:v>
      </x:c>
      <x:c r="E7" s="54" t="str">
        <x:v>HOSPITAL_ADMIN</x:v>
      </x:c>
      <x:c r="F7" s="54" t="str">
        <x:v>HSP-002</x:v>
      </x:c>
      <x:c r="G7" s="54"/>
      <x:c r="H7" s="54"/>
      <x:c r="I7" s="54" t="str">
        <x:v>en-IN</x:v>
      </x:c>
      <x:c r="J7" s="54" t="str">
        <x:v>TO_PROVISION</x:v>
      </x:c>
      <x:c r="K7" s="54" t="str">
        <x:v>NOT_STORED_USE_ENVIRONMENT_SECRET</x:v>
      </x:c>
      <x:c r="L7" s="55" t="b">
        <x:v>1</x:v>
      </x:c>
    </x:row>
    <x:row r="8" ht="28" customHeight="1">
      <x:c r="A8" s="54" t="str">
        <x:v>AUTH-HSP-002-DOCTOR</x:v>
      </x:c>
      <x:c r="B8" s="54" t="str">
        <x:v>doctor.hsp002@resilicare.test</x:v>
      </x:c>
      <x:c r="C8" s="54" t="str">
        <x:v>Aditya Menon</x:v>
      </x:c>
      <x:c r="D8" s="54" t="str">
        <x:v>STAFF</x:v>
      </x:c>
      <x:c r="E8" s="54" t="str">
        <x:v>DOCTOR</x:v>
      </x:c>
      <x:c r="F8" s="54" t="str">
        <x:v>HSP-002</x:v>
      </x:c>
      <x:c r="G8" s="54" t="str">
        <x:v>HSP-002-D01</x:v>
      </x:c>
      <x:c r="H8" s="54"/>
      <x:c r="I8" s="54" t="str">
        <x:v>en-IN</x:v>
      </x:c>
      <x:c r="J8" s="54" t="str">
        <x:v>TO_PROVISION</x:v>
      </x:c>
      <x:c r="K8" s="54" t="str">
        <x:v>NOT_STORED_USE_ENVIRONMENT_SECRET</x:v>
      </x:c>
      <x:c r="L8" s="55" t="b">
        <x:v>1</x:v>
      </x:c>
    </x:row>
    <x:row r="9" ht="28" customHeight="1">
      <x:c r="A9" s="54" t="str">
        <x:v>AUTH-HSP-002-SUPPORT</x:v>
      </x:c>
      <x:c r="B9" s="54" t="str">
        <x:v>support.hsp002@resilicare.test</x:v>
      </x:c>
      <x:c r="C9" s="54" t="str">
        <x:v>Rahul Sethi</x:v>
      </x:c>
      <x:c r="D9" s="54" t="str">
        <x:v>STAFF</x:v>
      </x:c>
      <x:c r="E9" s="54" t="str">
        <x:v>RECEPTIONIST</x:v>
      </x:c>
      <x:c r="F9" s="54" t="str">
        <x:v>HSP-002</x:v>
      </x:c>
      <x:c r="G9" s="54" t="str">
        <x:v>HSP-002-R01</x:v>
      </x:c>
      <x:c r="H9" s="54"/>
      <x:c r="I9" s="54" t="str">
        <x:v>en-IN</x:v>
      </x:c>
      <x:c r="J9" s="54" t="str">
        <x:v>TO_PROVISION</x:v>
      </x:c>
      <x:c r="K9" s="54" t="str">
        <x:v>NOT_STORED_USE_ENVIRONMENT_SECRET</x:v>
      </x:c>
      <x:c r="L9" s="55" t="b">
        <x:v>1</x:v>
      </x:c>
    </x:row>
    <x:row r="10" ht="28" customHeight="1">
      <x:c r="A10" s="54" t="str">
        <x:v>AUTH-HSP-002-PATIENT</x:v>
      </x:c>
      <x:c r="B10" s="54" t="str">
        <x:v>patient.hsp002@resilicare.test</x:v>
      </x:c>
      <x:c r="C10" s="54" t="str">
        <x:v>Saanvi Chauhan</x:v>
      </x:c>
      <x:c r="D10" s="54" t="str">
        <x:v>PATIENT</x:v>
      </x:c>
      <x:c r="E10" s="54" t="str">
        <x:v>PATIENT</x:v>
      </x:c>
      <x:c r="F10" s="54" t="str">
        <x:v>HSP-002</x:v>
      </x:c>
      <x:c r="G10" s="54"/>
      <x:c r="H10" s="54" t="str">
        <x:v>HSP-002-P001</x:v>
      </x:c>
      <x:c r="I10" s="54" t="str">
        <x:v>en-IN</x:v>
      </x:c>
      <x:c r="J10" s="54" t="str">
        <x:v>TO_PROVISION</x:v>
      </x:c>
      <x:c r="K10" s="54" t="str">
        <x:v>NOT_STORED_USE_ENVIRONMENT_SECRET</x:v>
      </x:c>
      <x:c r="L10" s="55" t="b">
        <x:v>1</x:v>
      </x:c>
    </x:row>
    <x:row r="11" ht="28" customHeight="1">
      <x:c r="A11" s="54" t="str">
        <x:v>AUTH-HSP-003-ADMIN</x:v>
      </x:c>
      <x:c r="B11" s="54" t="str">
        <x:v>admin.hsp003@resilicare.test</x:v>
      </x:c>
      <x:c r="C11" s="54" t="str">
        <x:v>ResiliCare District Hospital Demo Administrator</x:v>
      </x:c>
      <x:c r="D11" s="54" t="str">
        <x:v>HOSPITAL_ADMIN</x:v>
      </x:c>
      <x:c r="E11" s="54" t="str">
        <x:v>HOSPITAL_ADMIN</x:v>
      </x:c>
      <x:c r="F11" s="54" t="str">
        <x:v>HSP-003</x:v>
      </x:c>
      <x:c r="G11" s="54"/>
      <x:c r="H11" s="54"/>
      <x:c r="I11" s="54" t="str">
        <x:v>en-IN</x:v>
      </x:c>
      <x:c r="J11" s="54" t="str">
        <x:v>TO_PROVISION</x:v>
      </x:c>
      <x:c r="K11" s="54" t="str">
        <x:v>NOT_STORED_USE_ENVIRONMENT_SECRET</x:v>
      </x:c>
      <x:c r="L11" s="55" t="b">
        <x:v>1</x:v>
      </x:c>
    </x:row>
    <x:row r="12" ht="28" customHeight="1">
      <x:c r="A12" s="54" t="str">
        <x:v>AUTH-HSP-003-DOCTOR</x:v>
      </x:c>
      <x:c r="B12" s="54" t="str">
        <x:v>doctor.hsp003@resilicare.test</x:v>
      </x:c>
      <x:c r="C12" s="54" t="str">
        <x:v>Akash Gupta</x:v>
      </x:c>
      <x:c r="D12" s="54" t="str">
        <x:v>STAFF</x:v>
      </x:c>
      <x:c r="E12" s="54" t="str">
        <x:v>DOCTOR</x:v>
      </x:c>
      <x:c r="F12" s="54" t="str">
        <x:v>HSP-003</x:v>
      </x:c>
      <x:c r="G12" s="54" t="str">
        <x:v>HSP-003-D01</x:v>
      </x:c>
      <x:c r="H12" s="54"/>
      <x:c r="I12" s="54" t="str">
        <x:v>en-IN</x:v>
      </x:c>
      <x:c r="J12" s="54" t="str">
        <x:v>TO_PROVISION</x:v>
      </x:c>
      <x:c r="K12" s="54" t="str">
        <x:v>NOT_STORED_USE_ENVIRONMENT_SECRET</x:v>
      </x:c>
      <x:c r="L12" s="55" t="b">
        <x:v>1</x:v>
      </x:c>
    </x:row>
    <x:row r="13" ht="28" customHeight="1">
      <x:c r="A13" s="54" t="str">
        <x:v>AUTH-HSP-003-SUPPORT</x:v>
      </x:c>
      <x:c r="B13" s="54" t="str">
        <x:v>support.hsp003@resilicare.test</x:v>
      </x:c>
      <x:c r="C13" s="54" t="str">
        <x:v>Farah Siddiqui</x:v>
      </x:c>
      <x:c r="D13" s="54" t="str">
        <x:v>STAFF</x:v>
      </x:c>
      <x:c r="E13" s="54" t="str">
        <x:v>NURSE</x:v>
      </x:c>
      <x:c r="F13" s="54" t="str">
        <x:v>HSP-003</x:v>
      </x:c>
      <x:c r="G13" s="54" t="str">
        <x:v>HSP-003-N01</x:v>
      </x:c>
      <x:c r="H13" s="54"/>
      <x:c r="I13" s="54" t="str">
        <x:v>en-IN</x:v>
      </x:c>
      <x:c r="J13" s="54" t="str">
        <x:v>TO_PROVISION</x:v>
      </x:c>
      <x:c r="K13" s="54" t="str">
        <x:v>NOT_STORED_USE_ENVIRONMENT_SECRET</x:v>
      </x:c>
      <x:c r="L13" s="55" t="b">
        <x:v>1</x:v>
      </x:c>
    </x:row>
    <x:row r="14" ht="28" customHeight="1">
      <x:c r="A14" s="54" t="str">
        <x:v>AUTH-HSP-003-PATIENT</x:v>
      </x:c>
      <x:c r="B14" s="54" t="str">
        <x:v>patient.hsp003@resilicare.test</x:v>
      </x:c>
      <x:c r="C14" s="54" t="str">
        <x:v>Nisha Chauhan</x:v>
      </x:c>
      <x:c r="D14" s="54" t="str">
        <x:v>PATIENT</x:v>
      </x:c>
      <x:c r="E14" s="54" t="str">
        <x:v>PATIENT</x:v>
      </x:c>
      <x:c r="F14" s="54" t="str">
        <x:v>HSP-003</x:v>
      </x:c>
      <x:c r="G14" s="54"/>
      <x:c r="H14" s="54" t="str">
        <x:v>HSP-003-P001</x:v>
      </x:c>
      <x:c r="I14" s="54" t="str">
        <x:v>en-IN</x:v>
      </x:c>
      <x:c r="J14" s="54" t="str">
        <x:v>TO_PROVISION</x:v>
      </x:c>
      <x:c r="K14" s="54" t="str">
        <x:v>NOT_STORED_USE_ENVIRONMENT_SECRET</x:v>
      </x:c>
      <x:c r="L14" s="55" t="b">
        <x:v>1</x:v>
      </x:c>
    </x:row>
    <x:row r="15" ht="28" customHeight="1">
      <x:c r="A15" s="54" t="str">
        <x:v>AUTH-HSP-004-ADMIN</x:v>
      </x:c>
      <x:c r="B15" s="54" t="str">
        <x:v>admin.hsp004@resilicare.test</x:v>
      </x:c>
      <x:c r="C15" s="54" t="str">
        <x:v>ResiliCare Rural Hospital Demo Administrator</x:v>
      </x:c>
      <x:c r="D15" s="54" t="str">
        <x:v>HOSPITAL_ADMIN</x:v>
      </x:c>
      <x:c r="E15" s="54" t="str">
        <x:v>HOSPITAL_ADMIN</x:v>
      </x:c>
      <x:c r="F15" s="54" t="str">
        <x:v>HSP-004</x:v>
      </x:c>
      <x:c r="G15" s="54"/>
      <x:c r="H15" s="54"/>
      <x:c r="I15" s="54" t="str">
        <x:v>en-IN</x:v>
      </x:c>
      <x:c r="J15" s="54" t="str">
        <x:v>TO_PROVISION</x:v>
      </x:c>
      <x:c r="K15" s="54" t="str">
        <x:v>NOT_STORED_USE_ENVIRONMENT_SECRET</x:v>
      </x:c>
      <x:c r="L15" s="55" t="b">
        <x:v>1</x:v>
      </x:c>
    </x:row>
    <x:row r="16" ht="28" customHeight="1">
      <x:c r="A16" s="54" t="str">
        <x:v>AUTH-HSP-004-DOCTOR</x:v>
      </x:c>
      <x:c r="B16" s="54" t="str">
        <x:v>doctor.hsp004@resilicare.test</x:v>
      </x:c>
      <x:c r="C16" s="54" t="str">
        <x:v>Karan Chawla</x:v>
      </x:c>
      <x:c r="D16" s="54" t="str">
        <x:v>STAFF</x:v>
      </x:c>
      <x:c r="E16" s="54" t="str">
        <x:v>DOCTOR</x:v>
      </x:c>
      <x:c r="F16" s="54" t="str">
        <x:v>HSP-004</x:v>
      </x:c>
      <x:c r="G16" s="54" t="str">
        <x:v>HSP-004-D01</x:v>
      </x:c>
      <x:c r="H16" s="54"/>
      <x:c r="I16" s="54" t="str">
        <x:v>en-IN</x:v>
      </x:c>
      <x:c r="J16" s="54" t="str">
        <x:v>TO_PROVISION</x:v>
      </x:c>
      <x:c r="K16" s="54" t="str">
        <x:v>NOT_STORED_USE_ENVIRONMENT_SECRET</x:v>
      </x:c>
      <x:c r="L16" s="55" t="b">
        <x:v>1</x:v>
      </x:c>
    </x:row>
    <x:row r="17" ht="28" customHeight="1">
      <x:c r="A17" s="54" t="str">
        <x:v>AUTH-HSP-004-SUPPORT</x:v>
      </x:c>
      <x:c r="B17" s="54" t="str">
        <x:v>support.hsp004@resilicare.test</x:v>
      </x:c>
      <x:c r="C17" s="54" t="str">
        <x:v>Sameer Walia</x:v>
      </x:c>
      <x:c r="D17" s="54" t="str">
        <x:v>STAFF</x:v>
      </x:c>
      <x:c r="E17" s="54" t="str">
        <x:v>RECEPTIONIST</x:v>
      </x:c>
      <x:c r="F17" s="54" t="str">
        <x:v>HSP-004</x:v>
      </x:c>
      <x:c r="G17" s="54" t="str">
        <x:v>HSP-004-R01</x:v>
      </x:c>
      <x:c r="H17" s="54"/>
      <x:c r="I17" s="54" t="str">
        <x:v>en-IN</x:v>
      </x:c>
      <x:c r="J17" s="54" t="str">
        <x:v>TO_PROVISION</x:v>
      </x:c>
      <x:c r="K17" s="54" t="str">
        <x:v>NOT_STORED_USE_ENVIRONMENT_SECRET</x:v>
      </x:c>
      <x:c r="L17" s="55" t="b">
        <x:v>1</x:v>
      </x:c>
    </x:row>
    <x:row r="18" ht="28" customHeight="1">
      <x:c r="A18" s="56" t="str">
        <x:v>AUTH-HSP-004-PATIENT</x:v>
      </x:c>
      <x:c r="B18" s="56" t="str">
        <x:v>patient.hsp004@resilicare.test</x:v>
      </x:c>
      <x:c r="C18" s="56" t="str">
        <x:v>Kiran Chauhan</x:v>
      </x:c>
      <x:c r="D18" s="56" t="str">
        <x:v>PATIENT</x:v>
      </x:c>
      <x:c r="E18" s="56" t="str">
        <x:v>PATIENT</x:v>
      </x:c>
      <x:c r="F18" s="56" t="str">
        <x:v>HSP-004</x:v>
      </x:c>
      <x:c r="G18" s="56"/>
      <x:c r="H18" s="56" t="str">
        <x:v>HSP-004-P001</x:v>
      </x:c>
      <x:c r="I18" s="56" t="str">
        <x:v>en-IN</x:v>
      </x:c>
      <x:c r="J18" s="56" t="str">
        <x:v>TO_PROVISION</x:v>
      </x:c>
      <x:c r="K18" s="56" t="str">
        <x:v>NOT_STORED_USE_ENVIRONMENT_SECRET</x:v>
      </x:c>
      <x:c r="L18" s="57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0d0ede6634c41da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42" hidden="0" customWidth="1"/>
  </x:cols>
  <x:sheetData>
    <x:row r="1" ht="15" hidden="0" customHeight="1">
      <x:c r="A1" s="66" t="str">
        <x:v>Sheet</x:v>
      </x:c>
      <x:c r="B1" s="66" t="str">
        <x:v>Purpose</x:v>
      </x:c>
      <x:c r="C1" s="66" t="str">
        <x:v>Relationship / key</x:v>
      </x:c>
    </x:row>
    <x:row r="2" ht="15" hidden="0" customHeight="1">
      <x:c r="A2" s="67" t="str">
        <x:v>README</x:v>
      </x:c>
      <x:c r="B2" s="69" t="str">
        <x:v>Purpose, record counts, allocation formulas and validation checks.</x:v>
      </x:c>
      <x:c r="C2" s="69" t="str">
        <x:v>Start here</x:v>
      </x:c>
    </x:row>
    <x:row r="3" ht="15" hidden="0" customHeight="1">
      <x:c r="A3" s="67" t="str">
        <x:v>Hospitals</x:v>
      </x:c>
      <x:c r="B3" s="69" t="str">
        <x:v>Four synthetic hospital masters with actual capability flags.</x:v>
      </x:c>
      <x:c r="C3" s="69" t="str">
        <x:v>hospital_id</x:v>
      </x:c>
    </x:row>
    <x:row r="4" ht="15" hidden="0" customHeight="1">
      <x:c r="A4" s="67" t="str">
        <x:v>Wards</x:v>
      </x:c>
      <x:c r="B4" s="69" t="str">
        <x:v>Five wards per hospital: three common plus two specialty wards.</x:v>
      </x:c>
      <x:c r="C4" s="69" t="str">
        <x:v>ward_id -&gt; hospital_id</x:v>
      </x:c>
    </x:row>
    <x:row r="5" ht="15" hidden="0" customHeight="1">
      <x:c r="A5" s="67" t="str">
        <x:v>Staff</x:v>
      </x:c>
      <x:c r="B5" s="69" t="str">
        <x:v>Five doctors and five nurse/reception staff per hospital.</x:v>
      </x:c>
      <x:c r="C5" s="69" t="str">
        <x:v>staff_id -&gt; hospital_id</x:v>
      </x:c>
    </x:row>
    <x:row r="6" ht="15" hidden="0" customHeight="1">
      <x:c r="A6" s="67" t="str">
        <x:v>Staff_Wards</x:v>
      </x:c>
      <x:c r="B6" s="69" t="str">
        <x:v>Many-to-many working-area assignments.</x:v>
      </x:c>
      <x:c r="C6" s="69" t="str">
        <x:v>staff_id + ward_id</x:v>
      </x:c>
    </x:row>
    <x:row r="7" ht="15" hidden="0" customHeight="1">
      <x:c r="A7" s="67" t="str">
        <x:v>Patients</x:v>
      </x:c>
      <x:c r="B7" s="69" t="str">
        <x:v>Exactly 100 profiles; LIVE/RESERVE is the key demo split.</x:v>
      </x:c>
      <x:c r="C7" s="69" t="str">
        <x:v>patient_id -&gt; hospital_id</x:v>
      </x:c>
    </x:row>
    <x:row r="8" ht="15" hidden="0" customHeight="1">
      <x:c r="A8" s="67" t="str">
        <x:v>Queue_Sessions</x:v>
      </x:c>
      <x:c r="B8" s="69" t="str">
        <x:v>One active demo queue per hospital.</x:v>
      </x:c>
      <x:c r="C8" s="69" t="str">
        <x:v>queue_session_id -&gt; hospital_id</x:v>
      </x:c>
    </x:row>
    <x:row r="9" ht="15" hidden="0" customHeight="1">
      <x:c r="A9" s="67" t="str">
        <x:v>Encounters</x:v>
      </x:c>
      <x:c r="B9" s="69" t="str">
        <x:v>Exactly 40 live visits, ten per hospital.</x:v>
      </x:c>
      <x:c r="C9" s="69" t="str">
        <x:v>encounter_id -&gt; patient/hospital/ward/queue</x:v>
      </x:c>
    </x:row>
    <x:row r="10" ht="15" hidden="0" customHeight="1">
      <x:c r="A10" s="67" t="str">
        <x:v>Doctor_Assign</x:v>
      </x:c>
      <x:c r="B10" s="69" t="str">
        <x:v>Exactly one active doctor assignment per live encounter.</x:v>
      </x:c>
      <x:c r="C10" s="69" t="str">
        <x:v>encounter_id + doctor_staff_id</x:v>
      </x:c>
    </x:row>
    <x:row r="11" ht="15" hidden="0" customHeight="1">
      <x:c r="A11" s="67" t="str">
        <x:v>Nurse_Assign</x:v>
      </x:c>
      <x:c r="B11" s="69" t="str">
        <x:v>One triage nurse assignment per live encounter.</x:v>
      </x:c>
      <x:c r="C11" s="69" t="str">
        <x:v>encounter_id + nurse_staff_id</x:v>
      </x:c>
    </x:row>
    <x:row r="12" ht="24" hidden="0" customHeight="1">
      <x:c r="A12" s="67" t="str">
        <x:v>Vitals</x:v>
      </x:c>
      <x:c r="B12" s="69" t="str">
        <x:v>Forty initial observations plus six demo reassessments; units are in headers.</x:v>
      </x:c>
      <x:c r="C12" s="69" t="str">
        <x:v>vital_observation_id -&gt; encounter_id</x:v>
      </x:c>
    </x:row>
    <x:row r="13" ht="15" hidden="0" customHeight="1">
      <x:c r="A13" s="67" t="str">
        <x:v>Questions</x:v>
      </x:c>
      <x:c r="B13" s="69" t="str">
        <x:v>Six reusable follow-up questions.</x:v>
      </x:c>
      <x:c r="C13" s="69" t="str">
        <x:v>question_code</x:v>
      </x:c>
    </x:row>
    <x:row r="14" ht="15" hidden="0" customHeight="1">
      <x:c r="A14" s="67" t="str">
        <x:v>Interviews</x:v>
      </x:c>
      <x:c r="B14" s="69" t="str">
        <x:v>One completed synthetic symptom interview per live encounter.</x:v>
      </x:c>
      <x:c r="C14" s="69" t="str">
        <x:v>symptom_interview_id -&gt; encounter_id</x:v>
      </x:c>
    </x:row>
    <x:row r="15" ht="15" hidden="0" customHeight="1">
      <x:c r="A15" s="67" t="str">
        <x:v>Responses</x:v>
      </x:c>
      <x:c r="B15" s="69" t="str">
        <x:v>Six responses per interview, 240 total.</x:v>
      </x:c>
      <x:c r="C15" s="69" t="str">
        <x:v>response -&gt; interview + question</x:v>
      </x:c>
    </x:row>
    <x:row r="16" ht="24" hidden="0" customHeight="1">
      <x:c r="A16" s="67" t="str">
        <x:v>Triage</x:v>
      </x:c>
      <x:c r="B16" s="69" t="str">
        <x:v>One initial ESI recommendation per live encounter; clinician confirmation is separate.</x:v>
      </x:c>
      <x:c r="C16" s="69" t="str">
        <x:v>triage_assessment_id -&gt; encounter_id</x:v>
      </x:c>
    </x:row>
    <x:row r="17" ht="15" hidden="0" customHeight="1">
      <x:c r="A17" s="67" t="str">
        <x:v>Prescriptions</x:v>
      </x:c>
      <x:c r="B17" s="69" t="str">
        <x:v>Twenty-eight draft/no-medication plans only.</x:v>
      </x:c>
      <x:c r="C17" s="69" t="str">
        <x:v>prescription_id -&gt; encounter + doctor assignment</x:v>
      </x:c>
    </x:row>
    <x:row r="18" ht="15" hidden="0" customHeight="1">
      <x:c r="A18" s="67" t="str">
        <x:v>Rx_Items</x:v>
      </x:c>
      <x:c r="B18" s="69" t="str">
        <x:v>Demo placeholders, explicitly not treatment recommendations.</x:v>
      </x:c>
      <x:c r="C18" s="69" t="str">
        <x:v>item -&gt; prescription</x:v>
      </x:c>
    </x:row>
    <x:row r="19" ht="15" hidden="0" customHeight="1">
      <x:c r="A19" s="67" t="str">
        <x:v>Invoices</x:v>
      </x:c>
      <x:c r="B19" s="69" t="str">
        <x:v>One draft prototype invoice per live encounter.</x:v>
      </x:c>
      <x:c r="C19" s="69" t="str">
        <x:v>invoice_id -&gt; encounter_id</x:v>
      </x:c>
    </x:row>
    <x:row r="20" ht="24" hidden="0" customHeight="1">
      <x:c r="A20" s="67" t="str">
        <x:v>Invoice_Items</x:v>
      </x:c>
      <x:c r="B20" s="69" t="str">
        <x:v>Two simple line items per invoice; amounts reconcile to invoice subtotal.</x:v>
      </x:c>
      <x:c r="C20" s="69" t="str">
        <x:v>item -&gt; invoice</x:v>
      </x:c>
    </x:row>
    <x:row r="21" ht="24" hidden="0" customHeight="1">
      <x:c r="A21" s="67" t="str">
        <x:v>Feedback</x:v>
      </x:c>
      <x:c r="B21" s="69" t="str">
        <x:v>Eight in-process app/queue feedback examples; not post-discharge reviews.</x:v>
      </x:c>
      <x:c r="C21" s="69" t="str">
        <x:v>feedback -&gt; encounter/patient/hospital</x:v>
      </x:c>
    </x:row>
    <x:row r="22" ht="24" hidden="0" customHeight="1">
      <x:c r="A22" s="68" t="str">
        <x:v>Login_Accounts</x:v>
      </x:c>
      <x:c r="B22" s="70" t="str">
        <x:v>Seventeen accounts to provision through Supabase Admin Auth; no passwords are stored.</x:v>
      </x:c>
      <x:c r="C22" s="70" t="str">
        <x:v>Auth user -&gt; profile/role -&gt; staff or patient</x:v>
      </x:c>
    </x:row>
  </x:sheetData>
  <x:pageMargins left="0.7" right="0.7" top="0.75" bottom="0.75" header="0.3" footer="0.3"/>
  <x:tableParts count="1">
    <x:tablePart xmlns:r="http://schemas.openxmlformats.org/officeDocument/2006/relationships" r:id="Rb4bb4f765f5049d6"/>
  </x:tableParts>
</x:worksheet>
</file>